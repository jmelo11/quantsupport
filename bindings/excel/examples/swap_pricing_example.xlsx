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3"/>
  </bookViews>
  <sheets>
    <sheet name="README" sheetId="1" r:id="rId1"/>
    <sheet name="Curve Setup" sheetId="2" r:id="rId2"/>
    <sheet name="Trade Inputs" sheetId="3" r:id="rId3"/>
    <sheet name="Pricing" sheetId="4" r:id="rId4"/>
    <sheet name="Curve Results" sheetId="5" r:id="rId5"/>
    <sheet name="Outputs" sheetId="6" r:id="rId6"/>
    <sheet name="Function Help" sheetId="7" r:id="rId7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<sst xmlns="http://schemas.openxmlformats.org/spreadsheetml/2006/main" count="137" uniqueCount="120">
  <si>
    <t>QuantSupport: SOFR and ESTR Curve Construction</t>
  </si>
  <si>
    <t>How to use this workbook</t>
  </si>
  <si>
    <t>1. Build and load bindings/excel/dist/quantsupport.xll in 64-bit Windows Excel.</t>
  </si>
  <si>
    <t>2. Open this workbook after the add-in is loaded, then press Ctrl+Alt+F9 once.</t>
  </si>
  <si>
    <t>3. Change the blue SOFR or ESTR quotes on Curve Setup, or edit Trade Inputs. Curves and prices recalculate.</t>
  </si>
  <si>
    <t>4. Pricing shows the object chain. Curve Results shows both curves. Outputs shows cashflows and sensitivities.</t>
  </si>
  <si>
    <t>Curve Setup contains USD SOFR and EUR ESTR deposit/OIS quotes plus interpolation, day count, extrapolation, and pillars.</t>
  </si>
  <si>
    <t>The QuoteStore chain loads SOFR from A6:A13, then ESTR from H6:H18. The configuration chain adds both curves.</t>
  </si>
  <si>
    <t>QS.CONTEXT.CREATE bootstraps both curves from worksheet handles. No JSON or external curve file is used.</t>
  </si>
  <si>
    <t>Pressing F9 with unchanged inputs reuses every object handle. Edited quotes or trade inputs advance revisions.</t>
  </si>
  <si>
    <t>Excel's Function Arguments dialog shows guidance for every parameter.</t>
  </si>
  <si>
    <t>Use =QS.HELP("QS.CURVE.CONFIGS.ADD") or =QS.FUNCTIONS.DETAILS() for an in-sheet reference.</t>
  </si>
  <si>
    <t>Both curves are configured in this workbook</t>
  </si>
  <si>
    <t>Function guidance</t>
  </si>
  <si>
    <t>USD SOFR and EUR ESTR curve setup</t>
  </si>
  <si>
    <t>Valuation date</t>
  </si>
  <si>
    <t>2026-02-24</t>
  </si>
  <si>
    <t>Initial quote store</t>
  </si>
  <si>
    <t>Quote identifier / calibration instrument</t>
  </si>
  <si>
    <t>Mid</t>
  </si>
  <si>
    <t>QuoteStore revision</t>
  </si>
  <si>
    <t>FixedRateDeposit_USD_SOFR_1D</t>
  </si>
  <si>
    <t>OIS_USD_SOFR_1Y</t>
  </si>
  <si>
    <t>OIS_USD_SOFR_2Y</t>
  </si>
  <si>
    <t>OIS_USD_SOFR_3Y</t>
  </si>
  <si>
    <t>OIS_USD_SOFR_5Y</t>
  </si>
  <si>
    <t>OIS_USD_SOFR_7Y</t>
  </si>
  <si>
    <t>OIS_USD_SOFR_10Y</t>
  </si>
  <si>
    <t>OIS_USD_SOFR_30Y</t>
  </si>
  <si>
    <t>FixedRateDeposit_EUR_ESTR_1D</t>
  </si>
  <si>
    <t>OIS_EUR_ESTR_3M</t>
  </si>
  <si>
    <t>OIS_EUR_ESTR_6M</t>
  </si>
  <si>
    <t>OIS_EUR_ESTR_1Y</t>
  </si>
  <si>
    <t>OIS_EUR_ESTR_2Y</t>
  </si>
  <si>
    <t>OIS_EUR_ESTR_3Y</t>
  </si>
  <si>
    <t>OIS_EUR_ESTR_4Y</t>
  </si>
  <si>
    <t>OIS_EUR_ESTR_5Y</t>
  </si>
  <si>
    <t>OIS_EUR_ESTR_7Y</t>
  </si>
  <si>
    <t>OIS_EUR_ESTR_10Y</t>
  </si>
  <si>
    <t>OIS_EUR_ESTR_15Y</t>
  </si>
  <si>
    <t>OIS_EUR_ESTR_20Y</t>
  </si>
  <si>
    <t>OIS_EUR_ESTR_30Y</t>
  </si>
  <si>
    <t>Curve parameter</t>
  </si>
  <si>
    <t>Value / handle</t>
  </si>
  <si>
    <t>Market index</t>
  </si>
  <si>
    <t>SOFR</t>
  </si>
  <si>
    <t>Day counter</t>
  </si>
  <si>
    <t>Actual360</t>
  </si>
  <si>
    <t>Interpolator</t>
  </si>
  <si>
    <t>LogLinear</t>
  </si>
  <si>
    <t>Enable extrapolation</t>
  </si>
  <si>
    <t>ESTR</t>
  </si>
  <si>
    <t>Configuration store</t>
  </si>
  <si>
    <t>Configured SOFR curve</t>
  </si>
  <si>
    <t>SOFR configuration input</t>
  </si>
  <si>
    <t>Configured ESTR curve</t>
  </si>
  <si>
    <t>Swap inputs</t>
  </si>
  <si>
    <t>Parameter</t>
  </si>
  <si>
    <t>Value</t>
  </si>
  <si>
    <t>Notional</t>
  </si>
  <si>
    <t>Fixed coupon</t>
  </si>
  <si>
    <t>Start date</t>
  </si>
  <si>
    <t>Maturity date</t>
  </si>
  <si>
    <t>2031-02-24</t>
  </si>
  <si>
    <t>Currency</t>
  </si>
  <si>
    <t>USD</t>
  </si>
  <si>
    <t>Side</t>
  </si>
  <si>
    <t>Receive</t>
  </si>
  <si>
    <t>Coupon compounding</t>
  </si>
  <si>
    <t>Simple</t>
  </si>
  <si>
    <t>Rate frequency</t>
  </si>
  <si>
    <t>Semiannual</t>
  </si>
  <si>
    <t>Fixed-leg frequency</t>
  </si>
  <si>
    <t>Floating-leg frequency</t>
  </si>
  <si>
    <t>Quarterly</t>
  </si>
  <si>
    <t>Rates are decimals: 0.03 = 3%. Dates are ISO text (YYYY-MM-DD).</t>
  </si>
  <si>
    <t>Pricing chain</t>
  </si>
  <si>
    <t>Step</t>
  </si>
  <si>
    <t>Result</t>
  </si>
  <si>
    <t>Purpose</t>
  </si>
  <si>
    <t>1. Quote store</t>
  </si>
  <si>
    <t>Latest revision after loading SOFR and ESTR quotes</t>
  </si>
  <si>
    <t>2. Curve configurations</t>
  </si>
  <si>
    <t>Both curves' conventions and pillar ranges</t>
  </si>
  <si>
    <t>3. Pricing context</t>
  </si>
  <si>
    <t>Bootstraps the configured curves</t>
  </si>
  <si>
    <t>4. Swap trade</t>
  </si>
  <si>
    <t>Receive-fixed USD SOFR swap</t>
  </si>
  <si>
    <t>5. Present value</t>
  </si>
  <si>
    <t>Swap NPV in USD</t>
  </si>
  <si>
    <t>6. Fair fixed rate</t>
  </si>
  <si>
    <t>Par coupon implied by the curve</t>
  </si>
  <si>
    <t>7. SOFR curve</t>
  </si>
  <si>
    <t>Reusable bootstrapped SOFR curve handle</t>
  </si>
  <si>
    <t>8. SOFR maturity discount</t>
  </si>
  <si>
    <t>SOFR discount factor at maturity</t>
  </si>
  <si>
    <t>9. ESTR curve</t>
  </si>
  <si>
    <t>Reusable bootstrapped ESTR curve handle</t>
  </si>
  <si>
    <t>10. ESTR maturity discount</t>
  </si>
  <si>
    <t>ESTR discount factor at maturity</t>
  </si>
  <si>
    <t>Bootstrapped SOFR and ESTR discount curves</t>
  </si>
  <si>
    <t>SOFR curve nodes</t>
  </si>
  <si>
    <t>ESTR curve nodes</t>
  </si>
  <si>
    <t>Point queries</t>
  </si>
  <si>
    <t>SOFR curve handle</t>
  </si>
  <si>
    <t>Discount date</t>
  </si>
  <si>
    <t>SOFR discount factor</t>
  </si>
  <si>
    <t>ESTR curve handle</t>
  </si>
  <si>
    <t>ESTR discount factor</t>
  </si>
  <si>
    <t>Forward start</t>
  </si>
  <si>
    <t>Forward end</t>
  </si>
  <si>
    <t>SOFR forward rate</t>
  </si>
  <si>
    <t>ESTR forward rate</t>
  </si>
  <si>
    <t>Swap outputs</t>
  </si>
  <si>
    <t>Cashflows</t>
  </si>
  <si>
    <t>Sensitivities</t>
  </si>
  <si>
    <t>Live worksheet-function help</t>
  </si>
  <si>
    <t>Curve construction</t>
  </si>
  <si>
    <t>Swap construction</t>
  </si>
  <si>
    <t>Curve inspection</t>
  </si>
</sst>
</file>

<file path=xl/styles.xml><?xml version="1.0" encoding="utf-8"?>
<styleSheet xmlns="http://schemas.openxmlformats.org/spreadsheetml/2006/main">
  <numFmts count="3">
    <numFmt numFmtId="164" formatCode="0.0000%"/>
    <numFmt numFmtId="165" formatCode="#,##0.00"/>
    <numFmt numFmtId="166" formatCode="0.000000"/>
  </numFmts>
  <fonts count="4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00307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3070"/>
        <bgColor indexed="64"/>
      </patternFill>
    </fill>
    <fill>
      <patternFill patternType="solid">
        <fgColor rgb="FFCFD9E8"/>
        <bgColor indexed="64"/>
      </patternFill>
    </fill>
    <fill>
      <patternFill patternType="solid">
        <fgColor rgb="FFD6E4FC"/>
        <bgColor indexed="64"/>
      </patternFill>
    </fill>
    <fill>
      <patternFill patternType="solid">
        <fgColor rgb="FF2C5AA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 wrapText="1"/>
    </xf>
    <xf numFmtId="165" fontId="0" fillId="4" borderId="1" xfId="0" applyNumberFormat="1" applyFill="1" applyBorder="1" applyAlignment="1">
      <alignment vertical="top" wrapText="1"/>
    </xf>
    <xf numFmtId="165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166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15.7109375" customWidth="1"/>
    <col min="2" max="14" width="18.7109375" style="1" customWidth="1"/>
  </cols>
  <sheetData>
    <row r="1" spans="1:6" ht="28" customHeight="1">
      <c r="A1" s="2" t="s">
        <v>0</v>
      </c>
      <c r="B1" s="2"/>
      <c r="C1" s="2"/>
      <c r="D1" s="2"/>
      <c r="E1" s="2"/>
      <c r="F1" s="2"/>
    </row>
    <row r="3" spans="1:6">
      <c r="A3" s="3" t="s">
        <v>1</v>
      </c>
      <c r="B3" s="3"/>
      <c r="C3" s="3"/>
      <c r="D3" s="3"/>
      <c r="E3" s="3"/>
      <c r="F3" s="3"/>
    </row>
    <row r="4" spans="1:6" ht="32" customHeight="1">
      <c r="A4" s="1" t="s">
        <v>2</v>
      </c>
    </row>
    <row r="5" spans="1:6" ht="32" customHeight="1">
      <c r="A5" s="1" t="s">
        <v>3</v>
      </c>
    </row>
    <row r="6" spans="1:6" ht="32" customHeight="1">
      <c r="A6" s="1" t="s">
        <v>4</v>
      </c>
    </row>
    <row r="7" spans="1:6" ht="32" customHeight="1">
      <c r="A7" s="1" t="s">
        <v>5</v>
      </c>
    </row>
    <row r="9" spans="1:6">
      <c r="A9" s="3" t="s">
        <v>12</v>
      </c>
      <c r="B9" s="3"/>
      <c r="C9" s="3"/>
      <c r="D9" s="3"/>
      <c r="E9" s="3"/>
      <c r="F9" s="3"/>
    </row>
    <row r="10" spans="1:6" ht="32" customHeight="1">
      <c r="A10" s="1" t="s">
        <v>6</v>
      </c>
    </row>
    <row r="11" spans="1:6" ht="32" customHeight="1">
      <c r="A11" s="1" t="s">
        <v>7</v>
      </c>
    </row>
    <row r="12" spans="1:6" ht="32" customHeight="1">
      <c r="A12" s="1" t="s">
        <v>8</v>
      </c>
    </row>
    <row r="13" spans="1:6" ht="32" customHeight="1">
      <c r="A13" s="1" t="s">
        <v>9</v>
      </c>
    </row>
    <row r="14" spans="1:6">
      <c r="A14" s="3" t="s">
        <v>13</v>
      </c>
      <c r="B14" s="3"/>
      <c r="C14" s="3"/>
      <c r="D14" s="3"/>
      <c r="E14" s="3"/>
      <c r="F14" s="3"/>
    </row>
    <row r="15" spans="1:6" ht="32" customHeight="1">
      <c r="A15" s="1" t="s">
        <v>10</v>
      </c>
    </row>
    <row r="16" spans="1:6" ht="32" customHeight="1">
      <c r="A16" s="1" t="s">
        <v>11</v>
      </c>
    </row>
  </sheetData>
  <mergeCells count="4">
    <mergeCell ref="A1:F1"/>
    <mergeCell ref="A3:F3"/>
    <mergeCell ref="A9:F9"/>
    <mergeCell ref="A14:F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2.7109375" style="1" customWidth="1"/>
    <col min="2" max="2" width="14.7109375" style="1" customWidth="1"/>
    <col min="3" max="3" width="48.7109375" style="1" customWidth="1"/>
    <col min="4" max="4" width="3.7109375" style="1" customWidth="1"/>
    <col min="5" max="5" width="24.7109375" style="1" customWidth="1"/>
    <col min="6" max="6" width="50.7109375" style="1" customWidth="1"/>
    <col min="7" max="7" width="3.7109375" style="1" customWidth="1"/>
    <col min="8" max="8" width="42.7109375" style="1" customWidth="1"/>
    <col min="9" max="9" width="14.7109375" style="1" customWidth="1"/>
    <col min="10" max="10" width="48.7109375" style="1" customWidth="1"/>
    <col min="11" max="11" width="3.7109375" style="1" customWidth="1"/>
    <col min="12" max="12" width="24.7109375" style="1" customWidth="1"/>
    <col min="13" max="13" width="50.7109375" style="1" customWidth="1"/>
    <col min="14" max="14" width="18.7109375" style="1" customWidth="1"/>
  </cols>
  <sheetData>
    <row r="1" spans="1:13" ht="28" customHeight="1">
      <c r="A1" s="2" t="s">
        <v>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3" spans="1:13">
      <c r="A3" s="1" t="s">
        <v>15</v>
      </c>
      <c r="B3" s="4" t="s">
        <v>16</v>
      </c>
      <c r="E3" s="1" t="s">
        <v>17</v>
      </c>
      <c r="F3" s="1" cm="1">
        <f t="array" ref="F3">_xll.QS.QUOTES.CREATE("SwapExample.Quotes",B3)</f>
        <v>0</v>
      </c>
    </row>
    <row r="5" spans="1:13">
      <c r="A5" s="5" t="s">
        <v>18</v>
      </c>
      <c r="B5" s="5" t="s">
        <v>19</v>
      </c>
      <c r="C5" s="5" t="s">
        <v>20</v>
      </c>
      <c r="E5" s="5" t="s">
        <v>42</v>
      </c>
      <c r="F5" s="5" t="s">
        <v>43</v>
      </c>
      <c r="H5" s="5" t="s">
        <v>18</v>
      </c>
      <c r="I5" s="5" t="s">
        <v>19</v>
      </c>
      <c r="J5" s="5" t="s">
        <v>20</v>
      </c>
      <c r="L5" s="5" t="s">
        <v>42</v>
      </c>
      <c r="M5" s="5" t="s">
        <v>43</v>
      </c>
    </row>
    <row r="6" spans="1:13">
      <c r="A6" s="1" t="s">
        <v>21</v>
      </c>
      <c r="B6" s="6">
        <v>0.045</v>
      </c>
      <c r="C6" s="1" cm="1">
        <f t="array" ref="C6">_xll.QS.QUOTES.SET($F$3,A6,B6,,)</f>
        <v>0</v>
      </c>
      <c r="E6" s="1" t="s">
        <v>44</v>
      </c>
      <c r="F6" s="4" t="s">
        <v>45</v>
      </c>
      <c r="H6" s="1" t="s">
        <v>29</v>
      </c>
      <c r="I6" s="6">
        <v>0.029</v>
      </c>
      <c r="J6" s="1" cm="1">
        <f t="array" ref="J6">_xll.QS.QUOTES.SET($C$13,H6,I6,,)</f>
        <v>0</v>
      </c>
      <c r="L6" s="1" t="s">
        <v>44</v>
      </c>
      <c r="M6" s="4" t="s">
        <v>51</v>
      </c>
    </row>
    <row r="7" spans="1:13">
      <c r="A7" s="1" t="s">
        <v>22</v>
      </c>
      <c r="B7" s="6">
        <v>0.04837</v>
      </c>
      <c r="C7" s="1" cm="1">
        <f t="array" ref="C7">_xll.QS.QUOTES.SET(C6,A7,B7,,)</f>
        <v>0</v>
      </c>
      <c r="E7" s="1" t="s">
        <v>46</v>
      </c>
      <c r="F7" s="4" t="s">
        <v>47</v>
      </c>
      <c r="H7" s="1" t="s">
        <v>30</v>
      </c>
      <c r="I7" s="6">
        <v>0.0288</v>
      </c>
      <c r="J7" s="1" cm="1">
        <f t="array" ref="J7">_xll.QS.QUOTES.SET(J6,H7,I7,,)</f>
        <v>0</v>
      </c>
      <c r="L7" s="1" t="s">
        <v>46</v>
      </c>
      <c r="M7" s="4" t="s">
        <v>47</v>
      </c>
    </row>
    <row r="8" spans="1:13">
      <c r="A8" s="1" t="s">
        <v>23</v>
      </c>
      <c r="B8" s="6">
        <v>0.04528</v>
      </c>
      <c r="C8" s="1" cm="1">
        <f t="array" ref="C8">_xll.QS.QUOTES.SET(C7,A8,B8,,)</f>
        <v>0</v>
      </c>
      <c r="E8" s="1" t="s">
        <v>48</v>
      </c>
      <c r="F8" s="4" t="s">
        <v>49</v>
      </c>
      <c r="H8" s="1" t="s">
        <v>31</v>
      </c>
      <c r="I8" s="6">
        <v>0.028</v>
      </c>
      <c r="J8" s="1" cm="1">
        <f t="array" ref="J8">_xll.QS.QUOTES.SET(J7,H8,I8,,)</f>
        <v>0</v>
      </c>
      <c r="L8" s="1" t="s">
        <v>48</v>
      </c>
      <c r="M8" s="4" t="s">
        <v>49</v>
      </c>
    </row>
    <row r="9" spans="1:13">
      <c r="A9" s="1" t="s">
        <v>24</v>
      </c>
      <c r="B9" s="6">
        <v>0.0426</v>
      </c>
      <c r="C9" s="1" cm="1">
        <f t="array" ref="C9">_xll.QS.QUOTES.SET(C8,A9,B9,,)</f>
        <v>0</v>
      </c>
      <c r="E9" s="1" t="s">
        <v>50</v>
      </c>
      <c r="F9" s="4" t="b">
        <v>1</v>
      </c>
      <c r="H9" s="1" t="s">
        <v>32</v>
      </c>
      <c r="I9" s="6">
        <v>0.0265</v>
      </c>
      <c r="J9" s="1" cm="1">
        <f t="array" ref="J9">_xll.QS.QUOTES.SET(J8,H9,I9,,)</f>
        <v>0</v>
      </c>
      <c r="L9" s="1" t="s">
        <v>50</v>
      </c>
      <c r="M9" s="4" t="b">
        <v>1</v>
      </c>
    </row>
    <row r="10" spans="1:13">
      <c r="A10" s="1" t="s">
        <v>25</v>
      </c>
      <c r="B10" s="6">
        <v>0.04077</v>
      </c>
      <c r="C10" s="1" cm="1">
        <f t="array" ref="C10">_xll.QS.QUOTES.SET(C9,A10,B10,,)</f>
        <v>0</v>
      </c>
      <c r="E10" s="1" t="s">
        <v>52</v>
      </c>
      <c r="F10" s="1" cm="1">
        <f t="array" ref="F10">_xll.QS.CURVE.CONFIGS.CREATE("SwapExample.Curves")</f>
        <v>0</v>
      </c>
      <c r="H10" s="1" t="s">
        <v>33</v>
      </c>
      <c r="I10" s="6">
        <v>0.025</v>
      </c>
      <c r="J10" s="1" cm="1">
        <f t="array" ref="J10">_xll.QS.QUOTES.SET(J9,H10,I10,,)</f>
        <v>0</v>
      </c>
      <c r="L10" s="1" t="s">
        <v>54</v>
      </c>
      <c r="M10" s="1">
        <f>F11</f>
        <v>0</v>
      </c>
    </row>
    <row r="11" spans="1:13">
      <c r="A11" s="1" t="s">
        <v>26</v>
      </c>
      <c r="B11" s="6">
        <v>0.04033</v>
      </c>
      <c r="C11" s="1" cm="1">
        <f t="array" ref="C11">_xll.QS.QUOTES.SET(C10,A11,B11,,)</f>
        <v>0</v>
      </c>
      <c r="E11" s="1" t="s">
        <v>53</v>
      </c>
      <c r="F11" s="1" cm="1">
        <f t="array" ref="F11">_xll.QS.CURVE.CONFIGS.ADD(F10,F6,F7,F8,F9,A6:A13)</f>
        <v>0</v>
      </c>
      <c r="H11" s="1" t="s">
        <v>34</v>
      </c>
      <c r="I11" s="6">
        <v>0.0245</v>
      </c>
      <c r="J11" s="1" cm="1">
        <f t="array" ref="J11">_xll.QS.QUOTES.SET(J10,H11,I11,,)</f>
        <v>0</v>
      </c>
      <c r="L11" s="1" t="s">
        <v>55</v>
      </c>
      <c r="M11" s="1" cm="1">
        <f t="array" ref="M11">_xll.QS.CURVE.CONFIGS.ADD(M10,M6,M7,M8,M9,H6:H18)</f>
        <v>0</v>
      </c>
    </row>
    <row r="12" spans="1:13">
      <c r="A12" s="1" t="s">
        <v>27</v>
      </c>
      <c r="B12" s="6">
        <v>0.03898</v>
      </c>
      <c r="C12" s="1" cm="1">
        <f t="array" ref="C12">_xll.QS.QUOTES.SET(C11,A12,B12,,)</f>
        <v>0</v>
      </c>
      <c r="H12" s="1" t="s">
        <v>35</v>
      </c>
      <c r="I12" s="6">
        <v>0.0243</v>
      </c>
      <c r="J12" s="1" cm="1">
        <f t="array" ref="J12">_xll.QS.QUOTES.SET(J11,H12,I12,,)</f>
        <v>0</v>
      </c>
    </row>
    <row r="13" spans="1:13">
      <c r="A13" s="1" t="s">
        <v>28</v>
      </c>
      <c r="B13" s="6">
        <v>0.03738</v>
      </c>
      <c r="C13" s="1" cm="1">
        <f t="array" ref="C13">_xll.QS.QUOTES.SET(C12,A13,B13,,)</f>
        <v>0</v>
      </c>
      <c r="H13" s="1" t="s">
        <v>36</v>
      </c>
      <c r="I13" s="6">
        <v>0.0242</v>
      </c>
      <c r="J13" s="1" cm="1">
        <f t="array" ref="J13">_xll.QS.QUOTES.SET(J12,H13,I13,,)</f>
        <v>0</v>
      </c>
    </row>
    <row r="14" spans="1:13">
      <c r="H14" s="1" t="s">
        <v>37</v>
      </c>
      <c r="I14" s="6">
        <v>0.0245</v>
      </c>
      <c r="J14" s="1" cm="1">
        <f t="array" ref="J14">_xll.QS.QUOTES.SET(J13,H14,I14,,)</f>
        <v>0</v>
      </c>
    </row>
    <row r="15" spans="1:13">
      <c r="H15" s="1" t="s">
        <v>38</v>
      </c>
      <c r="I15" s="6">
        <v>0.0252</v>
      </c>
      <c r="J15" s="1" cm="1">
        <f t="array" ref="J15">_xll.QS.QUOTES.SET(J14,H15,I15,,)</f>
        <v>0</v>
      </c>
    </row>
    <row r="16" spans="1:13">
      <c r="H16" s="1" t="s">
        <v>39</v>
      </c>
      <c r="I16" s="6">
        <v>0.0258</v>
      </c>
      <c r="J16" s="1" cm="1">
        <f t="array" ref="J16">_xll.QS.QUOTES.SET(J15,H16,I16,,)</f>
        <v>0</v>
      </c>
    </row>
    <row r="17" spans="8:10">
      <c r="H17" s="1" t="s">
        <v>40</v>
      </c>
      <c r="I17" s="6">
        <v>0.0255</v>
      </c>
      <c r="J17" s="1" cm="1">
        <f t="array" ref="J17">_xll.QS.QUOTES.SET(J16,H17,I17,,)</f>
        <v>0</v>
      </c>
    </row>
    <row r="18" spans="8:10">
      <c r="H18" s="1" t="s">
        <v>41</v>
      </c>
      <c r="I18" s="6">
        <v>0.024</v>
      </c>
      <c r="J18" s="1" cm="1">
        <f t="array" ref="J18">_xll.QS.QUOTES.SET(J17,H18,I18,,)</f>
        <v>0</v>
      </c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5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7.7109375" style="1" customWidth="1"/>
    <col min="2" max="2" width="23.7109375" style="1" customWidth="1"/>
    <col min="3" max="3" width="18.7109375" style="1" customWidth="1"/>
    <col min="4" max="4" width="42.7109375" style="1" customWidth="1"/>
    <col min="5" max="14" width="18.7109375" style="1" customWidth="1"/>
  </cols>
  <sheetData>
    <row r="1" spans="1:4" ht="28" customHeight="1">
      <c r="A1" s="2" t="s">
        <v>56</v>
      </c>
      <c r="B1" s="2"/>
      <c r="C1" s="2"/>
      <c r="D1" s="2"/>
    </row>
    <row r="3" spans="1:4">
      <c r="A3" s="5" t="s">
        <v>57</v>
      </c>
      <c r="B3" s="5" t="s">
        <v>58</v>
      </c>
      <c r="D3" s="1" t="s">
        <v>75</v>
      </c>
    </row>
    <row r="4" spans="1:4">
      <c r="A4" s="1" t="s">
        <v>59</v>
      </c>
      <c r="B4" s="7">
        <v>10000000</v>
      </c>
    </row>
    <row r="5" spans="1:4">
      <c r="A5" s="1" t="s">
        <v>60</v>
      </c>
      <c r="B5" s="6">
        <v>0.0425</v>
      </c>
    </row>
    <row r="6" spans="1:4">
      <c r="A6" s="1" t="s">
        <v>61</v>
      </c>
      <c r="B6" s="4" t="s">
        <v>16</v>
      </c>
    </row>
    <row r="7" spans="1:4">
      <c r="A7" s="1" t="s">
        <v>62</v>
      </c>
      <c r="B7" s="4" t="s">
        <v>63</v>
      </c>
    </row>
    <row r="8" spans="1:4">
      <c r="A8" s="1" t="s">
        <v>64</v>
      </c>
      <c r="B8" s="4" t="s">
        <v>65</v>
      </c>
    </row>
    <row r="9" spans="1:4">
      <c r="A9" s="1" t="s">
        <v>44</v>
      </c>
      <c r="B9" s="4" t="s">
        <v>45</v>
      </c>
    </row>
    <row r="10" spans="1:4">
      <c r="A10" s="1" t="s">
        <v>66</v>
      </c>
      <c r="B10" s="4" t="s">
        <v>67</v>
      </c>
    </row>
    <row r="11" spans="1:4">
      <c r="A11" s="1" t="s">
        <v>46</v>
      </c>
      <c r="B11" s="4" t="s">
        <v>47</v>
      </c>
    </row>
    <row r="12" spans="1:4">
      <c r="A12" s="1" t="s">
        <v>68</v>
      </c>
      <c r="B12" s="4" t="s">
        <v>69</v>
      </c>
    </row>
    <row r="13" spans="1:4">
      <c r="A13" s="1" t="s">
        <v>70</v>
      </c>
      <c r="B13" s="4" t="s">
        <v>71</v>
      </c>
    </row>
    <row r="14" spans="1:4">
      <c r="A14" s="1" t="s">
        <v>72</v>
      </c>
      <c r="B14" s="4" t="s">
        <v>71</v>
      </c>
    </row>
    <row r="15" spans="1:4">
      <c r="A15" s="1" t="s">
        <v>73</v>
      </c>
      <c r="B15" s="4" t="s">
        <v>74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13"/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4.7109375" style="1" customWidth="1"/>
    <col min="2" max="2" width="58.7109375" style="1" customWidth="1"/>
    <col min="3" max="3" width="40.7109375" style="1" customWidth="1"/>
    <col min="4" max="14" width="18.7109375" style="1" customWidth="1"/>
  </cols>
  <sheetData>
    <row r="1" spans="1:4" ht="28" customHeight="1">
      <c r="A1" s="2" t="s">
        <v>76</v>
      </c>
      <c r="B1" s="2"/>
      <c r="C1" s="2"/>
      <c r="D1" s="2"/>
    </row>
    <row r="3" spans="1:4">
      <c r="A3" s="5" t="s">
        <v>77</v>
      </c>
      <c r="B3" s="5" t="s">
        <v>78</v>
      </c>
      <c r="C3" s="5" t="s">
        <v>79</v>
      </c>
    </row>
    <row r="4" spans="1:4">
      <c r="A4" s="1" t="s">
        <v>80</v>
      </c>
      <c r="B4" s="1">
        <f>'Curve Setup'!J18</f>
        <v>0</v>
      </c>
      <c r="C4" s="1" t="s">
        <v>81</v>
      </c>
    </row>
    <row r="5" spans="1:4">
      <c r="A5" s="1" t="s">
        <v>82</v>
      </c>
      <c r="B5" s="1">
        <f>'Curve Setup'!M11</f>
        <v>0</v>
      </c>
      <c r="C5" s="1" t="s">
        <v>83</v>
      </c>
    </row>
    <row r="6" spans="1:4">
      <c r="A6" s="1" t="s">
        <v>84</v>
      </c>
      <c r="B6" s="1" cm="1">
        <f t="array" ref="B6">_xll.QS.CONTEXT.CREATE("SwapExample.Context",B4,B5,,,,,,,,,,"USD","SOFR")</f>
        <v>0</v>
      </c>
      <c r="C6" s="1" t="s">
        <v>85</v>
      </c>
    </row>
    <row r="7" spans="1:4">
      <c r="A7" s="1" t="s">
        <v>86</v>
      </c>
      <c r="B7" s="1" cm="1">
        <f t="array" ref="B7">_xll.QS.TRADE.SWAP("SwapExample.Swap",'Curve Setup'!B3,'Trade Inputs'!B6,'Trade Inputs'!B7,'Trade Inputs'!B8,'Trade Inputs'!B9,'Trade Inputs'!B4,'Trade Inputs'!B5,0,'Trade Inputs'!B10,'Trade Inputs'!B11,'Trade Inputs'!B12,'Trade Inputs'!B13,'Trade Inputs'!B14,'Trade Inputs'!B15)</f>
        <v>0</v>
      </c>
      <c r="C7" s="1" t="s">
        <v>87</v>
      </c>
    </row>
    <row r="8" spans="1:4">
      <c r="A8" s="1" t="s">
        <v>88</v>
      </c>
      <c r="B8" s="8" cm="1">
        <f t="array" ref="B8">_xll.QS.PRICE(B7,B6)</f>
        <v>0</v>
      </c>
      <c r="C8" s="1" t="s">
        <v>89</v>
      </c>
    </row>
    <row r="9" spans="1:4">
      <c r="A9" s="1" t="s">
        <v>90</v>
      </c>
      <c r="B9" s="9" cm="1">
        <f t="array" ref="B9">_xll.QS.FAIR.RATE(B7,B6)</f>
        <v>0</v>
      </c>
      <c r="C9" s="1" t="s">
        <v>91</v>
      </c>
    </row>
    <row r="10" spans="1:4">
      <c r="A10" s="1" t="s">
        <v>92</v>
      </c>
      <c r="B10" s="1" cm="1">
        <f t="array" ref="B10">_xll.QS.CURVE.GET(B6,'Trade Inputs'!B9)</f>
        <v>0</v>
      </c>
      <c r="C10" s="1" t="s">
        <v>93</v>
      </c>
    </row>
    <row r="11" spans="1:4">
      <c r="A11" s="1" t="s">
        <v>94</v>
      </c>
      <c r="B11" s="10" cm="1">
        <f t="array" ref="B11">_xll.QS.CURVE.DISCOUNT(B10,'Trade Inputs'!B7)</f>
        <v>0</v>
      </c>
      <c r="C11" s="1" t="s">
        <v>95</v>
      </c>
    </row>
    <row r="12" spans="1:4">
      <c r="A12" s="1" t="s">
        <v>96</v>
      </c>
      <c r="B12" s="1" cm="1">
        <f t="array" ref="B12">_xll.QS.CURVE.GET(B6,"ESTR")</f>
        <v>0</v>
      </c>
      <c r="C12" s="1" t="s">
        <v>97</v>
      </c>
    </row>
    <row r="13" spans="1:4">
      <c r="A13" s="1" t="s">
        <v>98</v>
      </c>
      <c r="B13" s="10" cm="1">
        <f t="array" ref="B13">_xll.QS.CURVE.DISCOUNT(B12,'Trade Inputs'!B7)</f>
        <v>0</v>
      </c>
      <c r="C13" s="1" t="s">
        <v>99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8.7109375" style="1" customWidth="1"/>
    <col min="2" max="2" width="16.7109375" style="1" customWidth="1"/>
    <col min="3" max="3" width="20.7109375" style="10" customWidth="1"/>
    <col min="4" max="5" width="20.7109375" style="9" customWidth="1"/>
    <col min="6" max="6" width="18.7109375" style="1" customWidth="1"/>
    <col min="7" max="7" width="38.7109375" style="1" customWidth="1"/>
    <col min="8" max="8" width="16.7109375" style="1" customWidth="1"/>
    <col min="9" max="9" width="20.7109375" style="10" customWidth="1"/>
    <col min="10" max="11" width="20.7109375" style="9" customWidth="1"/>
    <col min="12" max="12" width="18.7109375" style="1" customWidth="1"/>
    <col min="13" max="13" width="22.7109375" style="1" customWidth="1"/>
    <col min="14" max="14" width="58.7109375" style="1" customWidth="1"/>
  </cols>
  <sheetData>
    <row r="1" spans="1:14" ht="28" customHeight="1">
      <c r="A1" s="2" t="s">
        <v>100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3" spans="1:14">
      <c r="A3" s="3" t="s">
        <v>101</v>
      </c>
      <c r="B3" s="3"/>
      <c r="C3" s="3"/>
      <c r="D3" s="3"/>
      <c r="E3" s="3"/>
      <c r="G3" s="3" t="s">
        <v>102</v>
      </c>
      <c r="H3" s="3"/>
      <c r="I3" s="3"/>
      <c r="J3" s="3"/>
      <c r="K3" s="3"/>
      <c r="M3" s="3" t="s">
        <v>103</v>
      </c>
      <c r="N3" s="3"/>
    </row>
    <row r="4" spans="1:14">
      <c r="A4" s="1" cm="1">
        <f t="array" ref="A4">_xll.QS.CURVE.TABLE(Pricing!B10,"Simple","Annual")</f>
        <v>0</v>
      </c>
      <c r="G4" s="1" cm="1">
        <f t="array" ref="G4">_xll.QS.CURVE.TABLE(Pricing!B12,"Simple","Annual")</f>
        <v>0</v>
      </c>
      <c r="M4" s="1" t="s">
        <v>104</v>
      </c>
      <c r="N4" s="1">
        <f>Pricing!B10</f>
        <v>0</v>
      </c>
    </row>
    <row r="5" spans="1:14">
      <c r="M5" s="1" t="s">
        <v>105</v>
      </c>
      <c r="N5" s="1">
        <f>'Trade Inputs'!B7</f>
        <v>0</v>
      </c>
    </row>
    <row r="6" spans="1:14">
      <c r="M6" s="1" t="s">
        <v>106</v>
      </c>
      <c r="N6" s="10" cm="1">
        <f t="array" ref="N6">_xll.QS.CURVE.DISCOUNT(Pricing!B10,N5)</f>
        <v>0</v>
      </c>
    </row>
    <row r="7" spans="1:14">
      <c r="M7" s="1" t="s">
        <v>107</v>
      </c>
      <c r="N7" s="1">
        <f>Pricing!B12</f>
        <v>0</v>
      </c>
    </row>
    <row r="8" spans="1:14">
      <c r="M8" s="1" t="s">
        <v>108</v>
      </c>
      <c r="N8" s="10" cm="1">
        <f t="array" ref="N8">_xll.QS.CURVE.DISCOUNT(Pricing!B12,N5)</f>
        <v>0</v>
      </c>
    </row>
    <row r="9" spans="1:14">
      <c r="M9" s="1" t="s">
        <v>109</v>
      </c>
      <c r="N9" s="1">
        <f>'Trade Inputs'!B6</f>
        <v>0</v>
      </c>
    </row>
    <row r="10" spans="1:14">
      <c r="M10" s="1" t="s">
        <v>110</v>
      </c>
      <c r="N10" s="1">
        <f>'Trade Inputs'!B7</f>
        <v>0</v>
      </c>
    </row>
    <row r="11" spans="1:14">
      <c r="M11" s="1" t="s">
        <v>111</v>
      </c>
      <c r="N11" s="9" cm="1">
        <f t="array" ref="N11">_xll.QS.CURVE.FORWARD(Pricing!B10,N9,N10,"Simple","Annual")</f>
        <v>0</v>
      </c>
    </row>
    <row r="12" spans="1:14">
      <c r="M12" s="1" t="s">
        <v>112</v>
      </c>
      <c r="N12" s="9" cm="1">
        <f t="array" ref="N12">_xll.QS.CURVE.FORWARD(Pricing!B12,N9,N10,"Simple","Annual")</f>
        <v>0</v>
      </c>
    </row>
  </sheetData>
  <mergeCells count="4">
    <mergeCell ref="A1:N1"/>
    <mergeCell ref="A3:E3"/>
    <mergeCell ref="G3:K3"/>
    <mergeCell ref="M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4" width="18.7109375" style="1" customWidth="1"/>
  </cols>
  <sheetData>
    <row r="1" spans="1:12" ht="28" customHeight="1">
      <c r="A1" s="2" t="s">
        <v>113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3" spans="1:12">
      <c r="A3" s="3" t="s">
        <v>114</v>
      </c>
      <c r="B3" s="3"/>
      <c r="C3" s="3"/>
      <c r="D3" s="3"/>
      <c r="E3" s="3"/>
      <c r="F3" s="3"/>
      <c r="G3" s="3"/>
      <c r="H3" s="3"/>
      <c r="I3" s="3"/>
      <c r="K3" s="3" t="s">
        <v>115</v>
      </c>
      <c r="L3" s="3"/>
    </row>
    <row r="4" spans="1:12">
      <c r="A4" s="1" cm="1">
        <f t="array" ref="A4">_xll.QS.CASHFLOWS(Pricing!B7,Pricing!B6)</f>
        <v>0</v>
      </c>
      <c r="K4" s="1" cm="1">
        <f t="array" ref="K4">_xll.QS.SENSITIVITIES(Pricing!B7,Pricing!B6)</f>
        <v>0</v>
      </c>
    </row>
  </sheetData>
  <mergeCells count="3">
    <mergeCell ref="A1:L1"/>
    <mergeCell ref="A3:I3"/>
    <mergeCell ref="K3:L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5.7109375" style="1" customWidth="1"/>
    <col min="2" max="2" width="76.7109375" style="1" customWidth="1"/>
    <col min="3" max="3" width="18.7109375" style="1" customWidth="1"/>
    <col min="4" max="4" width="25.7109375" style="1" customWidth="1"/>
    <col min="5" max="5" width="76.7109375" style="1" customWidth="1"/>
    <col min="6" max="6" width="18.7109375" style="1" customWidth="1"/>
    <col min="7" max="7" width="25.7109375" style="1" customWidth="1"/>
    <col min="8" max="8" width="76.7109375" style="1" customWidth="1"/>
    <col min="9" max="14" width="18.7109375" style="1" customWidth="1"/>
  </cols>
  <sheetData>
    <row r="1" spans="1:8" ht="28" customHeight="1">
      <c r="A1" s="2" t="s">
        <v>116</v>
      </c>
      <c r="B1" s="2"/>
      <c r="C1" s="2"/>
      <c r="D1" s="2"/>
      <c r="E1" s="2"/>
      <c r="F1" s="2"/>
      <c r="G1" s="2"/>
      <c r="H1" s="2"/>
    </row>
    <row r="3" spans="1:8">
      <c r="A3" s="3" t="s">
        <v>117</v>
      </c>
      <c r="B3" s="3"/>
      <c r="D3" s="3" t="s">
        <v>118</v>
      </c>
      <c r="E3" s="3"/>
      <c r="G3" s="3" t="s">
        <v>119</v>
      </c>
      <c r="H3" s="3"/>
    </row>
    <row r="4" spans="1:8">
      <c r="A4" s="1" cm="1">
        <f t="array" ref="A4">_xll.QS.HELP("QS.CURVE.CONFIGS.ADD")</f>
        <v>0</v>
      </c>
      <c r="D4" s="1" cm="1">
        <f t="array" ref="D4">_xll.QS.HELP("QS.TRADE.SWAP")</f>
        <v>0</v>
      </c>
      <c r="G4" s="1" cm="1">
        <f t="array" ref="G4">_xll.QS.HELP("QS.CURVE.TABLE")</f>
        <v>0</v>
      </c>
    </row>
  </sheetData>
  <mergeCells count="4">
    <mergeCell ref="A1:H1"/>
    <mergeCell ref="A3:B3"/>
    <mergeCell ref="D3:E3"/>
    <mergeCell ref="G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Curve Setup</vt:lpstr>
      <vt:lpstr>Trade Inputs</vt:lpstr>
      <vt:lpstr>Pricing</vt:lpstr>
      <vt:lpstr>Curve Results</vt:lpstr>
      <vt:lpstr>Outputs</vt:lpstr>
      <vt:lpstr>Function Help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QuantSupport Excel examples</dc:title>
  <dc:creator/>
  <cp:lastModifiedBy/>
  <dcterms:created xsi:type="dcterms:W3CDTF">2026-01-01T00:00:00Z</dcterms:created>
  <dcterms:modified xsi:type="dcterms:W3CDTF">2026-01-01T00:00:00Z</dcterms:modified>
</cp:coreProperties>
</file>