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melo\AppData\Local\Temp\"/>
    </mc:Choice>
  </mc:AlternateContent>
  <xr:revisionPtr revIDLastSave="0" documentId="8_{C0C71CBE-CF20-4B9E-BC84-C224B4BE247F}" xr6:coauthVersionLast="47" xr6:coauthVersionMax="47" xr10:uidLastSave="{00000000-0000-0000-0000-000000000000}"/>
  <bookViews>
    <workbookView xWindow="-120" yWindow="-120" windowWidth="29040" windowHeight="15720" activeTab="3" xr2:uid="{4276F845-F1E5-4F55-A9BA-23A2225A20EE}"/>
  </bookViews>
  <sheets>
    <sheet name="README" sheetId="7" r:id="rId1"/>
    <sheet name="Curve Setup" sheetId="6" r:id="rId2"/>
    <sheet name="Trade Inputs" sheetId="5" r:id="rId3"/>
    <sheet name="Pricing" sheetId="4" r:id="rId4"/>
    <sheet name="Curve Results" sheetId="3" r:id="rId5"/>
    <sheet name="Outputs" sheetId="2" r:id="rId6"/>
    <sheet name="Function Help" sheetId="1" r:id="rId7"/>
  </sheet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" i="3" l="1"/>
  <c r="H7" i="3"/>
  <c r="H5" i="3"/>
  <c r="B5" i="5"/>
  <c r="B4" i="5"/>
  <c r="F9" i="6"/>
  <c r="B13" i="6"/>
  <c r="B12" i="6"/>
  <c r="B11" i="6"/>
  <c r="B10" i="6"/>
  <c r="B9" i="6"/>
  <c r="B8" i="6"/>
  <c r="B7" i="6"/>
  <c r="B6" i="6"/>
  <c r="G4" i="1" a="1"/>
  <c r="F3" i="6" a="1"/>
  <c r="D4" i="1" a="1"/>
  <c r="B7" i="4" a="1"/>
  <c r="A4" i="1" a="1"/>
  <c r="F10" i="6" a="1"/>
  <c r="F10" i="6" l="1"/>
  <c r="A4" i="1"/>
  <c r="B7" i="4"/>
  <c r="D4" i="1"/>
  <c r="F3" i="6"/>
  <c r="G4" i="1"/>
  <c r="C6" i="6" a="1"/>
  <c r="F11" i="6" a="1"/>
  <c r="F11" i="6" l="1"/>
  <c r="B5" i="4" s="1"/>
  <c r="C6" i="6"/>
  <c r="C7" i="6" a="1"/>
  <c r="C7" i="6" l="1"/>
  <c r="C8" i="6" a="1"/>
  <c r="C8" i="6" l="1"/>
  <c r="C9" i="6" a="1"/>
  <c r="C9" i="6" l="1"/>
  <c r="C10" i="6" a="1"/>
  <c r="C10" i="6" l="1"/>
  <c r="C11" i="6" a="1"/>
  <c r="C11" i="6" l="1"/>
  <c r="C12" i="6" a="1"/>
  <c r="C12" i="6" l="1"/>
  <c r="C13" i="6" a="1"/>
  <c r="C13" i="6" l="1"/>
  <c r="B4" i="4" s="1"/>
  <c r="B6" i="4" a="1"/>
  <c r="B6" i="4" l="1"/>
  <c r="B8" i="4" a="1"/>
  <c r="B9" i="4" a="1"/>
  <c r="G4" i="2" a="1"/>
  <c r="A4" i="2" a="1"/>
  <c r="B10" i="4" a="1"/>
  <c r="B10" i="4" l="1"/>
  <c r="A4" i="2"/>
  <c r="G4" i="2"/>
  <c r="B9" i="4"/>
  <c r="B8" i="4"/>
  <c r="H6" i="3" a="1"/>
  <c r="H9" i="3" a="1"/>
  <c r="B11" i="4" a="1"/>
  <c r="A4" i="3" a="1"/>
  <c r="A4" i="3" l="1"/>
  <c r="B11" i="4"/>
  <c r="H9" i="3"/>
  <c r="H6" i="3"/>
  <c r="H4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<sst xmlns="http://schemas.openxmlformats.org/spreadsheetml/2006/main" count="102" uniqueCount="96">
  <si>
    <t>QuantSupport: USD SOFR Swap Pricing</t>
  </si>
  <si>
    <t>How to use this workbook</t>
  </si>
  <si>
    <t>1. Build and load bindings/excel/dist/quantsupport.xll in 64-bit Excel.</t>
  </si>
  <si>
    <t>2. Open this workbook after the add-in is loaded, then press Ctrl+Alt+F9 once.</t>
  </si>
  <si>
    <t>3. Change the blue cells on Curve Setup or Trade Inputs. The curve, context, price, cashflows, and risk recalculate.</t>
  </si>
  <si>
    <t>4. Pricing shows the complete object chain. Curve Results shows bootstrapped discount factors and forwards. Outputs shows cashflows and sensitivities.</t>
  </si>
  <si>
    <t>The curve is configured in this workbook</t>
  </si>
  <si>
    <t>Curve Setup contains the valuation date, deposit/OIS market quotes, interpolation, day count, extrapolation, and selected pillar range.</t>
  </si>
  <si>
    <t>Each QS.QUOTES.SET row returns a revised QuoteStore handle. QS.CURVE.CONFIGS.ADD then reads the visible identifier range A6:A13.</t>
  </si>
  <si>
    <t>QS.CONTEXT.CREATE bootstraps the SOFR curve from those two handles. No JSON or external curve file is used.</t>
  </si>
  <si>
    <t>Pressing F9 with unchanged inputs reuses every object handle. Only edited quotes or trade inputs create a new revision.</t>
  </si>
  <si>
    <t>Function guidance</t>
  </si>
  <si>
    <t>Excel's Function Arguments dialog shows guidance for every parameter.</t>
  </si>
  <si>
    <t>Use =QS.HELP("QS.CURVE.CONFIGS.ADD") or =QS.FUNCTIONS.DETAILS() for an in-sheet reference.</t>
  </si>
  <si>
    <t>USD SOFR curve setup</t>
  </si>
  <si>
    <t>Valuation date</t>
  </si>
  <si>
    <t>2026-02-24</t>
  </si>
  <si>
    <t>Initial quote store</t>
  </si>
  <si>
    <t>Quote identifier / calibration instrument</t>
  </si>
  <si>
    <t>Mid</t>
  </si>
  <si>
    <t>QuoteStore revision</t>
  </si>
  <si>
    <t>FixedRateDeposit_USD_SOFR_1D</t>
  </si>
  <si>
    <t>OIS_USD_SOFR_1Y</t>
  </si>
  <si>
    <t>OIS_USD_SOFR_2Y</t>
  </si>
  <si>
    <t>OIS_USD_SOFR_3Y</t>
  </si>
  <si>
    <t>OIS_USD_SOFR_5Y</t>
  </si>
  <si>
    <t>OIS_USD_SOFR_7Y</t>
  </si>
  <si>
    <t>OIS_USD_SOFR_10Y</t>
  </si>
  <si>
    <t>OIS_USD_SOFR_30Y</t>
  </si>
  <si>
    <t>Curve parameter</t>
  </si>
  <si>
    <t>Value / handle</t>
  </si>
  <si>
    <t>Market index</t>
  </si>
  <si>
    <t>SOFR</t>
  </si>
  <si>
    <t>Day counter</t>
  </si>
  <si>
    <t>Actual360</t>
  </si>
  <si>
    <t>Interpolator</t>
  </si>
  <si>
    <t>LogLinear</t>
  </si>
  <si>
    <t>Enable extrapolation</t>
  </si>
  <si>
    <t>Configuration store</t>
  </si>
  <si>
    <t>Configured SOFR curve</t>
  </si>
  <si>
    <t>Swap inputs</t>
  </si>
  <si>
    <t>Parameter</t>
  </si>
  <si>
    <t>Value</t>
  </si>
  <si>
    <t>Notional</t>
  </si>
  <si>
    <t>Fixed coupon</t>
  </si>
  <si>
    <t>Start date</t>
  </si>
  <si>
    <t>Maturity date</t>
  </si>
  <si>
    <t>2031-02-24</t>
  </si>
  <si>
    <t>Currency</t>
  </si>
  <si>
    <t>USD</t>
  </si>
  <si>
    <t>Side</t>
  </si>
  <si>
    <t>Receive</t>
  </si>
  <si>
    <t>Coupon compounding</t>
  </si>
  <si>
    <t>Simple</t>
  </si>
  <si>
    <t>Rate frequency</t>
  </si>
  <si>
    <t>Semiannual</t>
  </si>
  <si>
    <t>Fixed-leg frequency</t>
  </si>
  <si>
    <t>Floating-leg frequency</t>
  </si>
  <si>
    <t>Quarterly</t>
  </si>
  <si>
    <t>Rates are decimal values: 0.03 = 3%. Dates are ISO text (YYYY-MM-DD).</t>
  </si>
  <si>
    <t>Pricing chain</t>
  </si>
  <si>
    <t>Step</t>
  </si>
  <si>
    <t>Result</t>
  </si>
  <si>
    <t>Purpose</t>
  </si>
  <si>
    <t>1. Quote store</t>
  </si>
  <si>
    <t>Latest revision after loading all visible market quotes</t>
  </si>
  <si>
    <t>2. Curve configuration</t>
  </si>
  <si>
    <t>SOFR, Actual360, LogLinear, extrapolation, and quote-pillar range</t>
  </si>
  <si>
    <t>3. Pricing context</t>
  </si>
  <si>
    <t>Bootstraps the SOFR discount/forward curve</t>
  </si>
  <si>
    <t>4. Swap trade</t>
  </si>
  <si>
    <t>Creates a receive-fixed USD SOFR swap</t>
  </si>
  <si>
    <t>5. Present value</t>
  </si>
  <si>
    <t>Swap NPV in USD</t>
  </si>
  <si>
    <t>6. Fair fixed rate</t>
  </si>
  <si>
    <t>Par coupon implied by the bootstrapped curve</t>
  </si>
  <si>
    <t>7. Discount curve</t>
  </si>
  <si>
    <t>Reusable handle for the bootstrapped SOFR curve</t>
  </si>
  <si>
    <t>8. Maturity discount</t>
  </si>
  <si>
    <t>Bootstrapped discount factor at swap maturity</t>
  </si>
  <si>
    <t>Bootstrapped SOFR discount curve</t>
  </si>
  <si>
    <t>Curve nodes</t>
  </si>
  <si>
    <t>Point queries</t>
  </si>
  <si>
    <t>Curve handle</t>
  </si>
  <si>
    <t>Discount date</t>
  </si>
  <si>
    <t>Discount factor</t>
  </si>
  <si>
    <t>Forward start</t>
  </si>
  <si>
    <t>Forward end</t>
  </si>
  <si>
    <t>Forward rate</t>
  </si>
  <si>
    <t>Swap outputs</t>
  </si>
  <si>
    <t>Cashflows</t>
  </si>
  <si>
    <t>Sensitivities</t>
  </si>
  <si>
    <t>Live worksheet-function help</t>
  </si>
  <si>
    <t>Curve construction</t>
  </si>
  <si>
    <t>Swap construction</t>
  </si>
  <si>
    <t>Curve inspection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</si>
</sst>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000"/>
  </numFmts>
  <fonts count="4" x14ac:knownFonts="1">
    <font>
      <sz val="11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003070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70"/>
        <bgColor indexed="64"/>
      </patternFill>
    </fill>
    <fill>
      <patternFill patternType="solid">
        <fgColor rgb="FFCFD9E8"/>
        <bgColor indexed="64"/>
      </patternFill>
    </fill>
    <fill>
      <patternFill patternType="solid">
        <fgColor rgb="FF2C5AA0"/>
        <bgColor indexed="64"/>
      </patternFill>
    </fill>
    <fill>
      <patternFill patternType="solid">
        <fgColor rgb="FFD6E4F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wrapText="1"/>
    </xf>
    <xf numFmtId="0" fontId="3" fillId="4" borderId="1" xfId="0" applyFont="1" applyFill="1" applyBorder="1"/>
    <xf numFmtId="0" fontId="0" fillId="0" borderId="1" xfId="0" applyBorder="1"/>
    <xf numFmtId="49" fontId="0" fillId="0" borderId="1" xfId="0" applyNumberFormat="1" applyBorder="1"/>
    <xf numFmtId="49" fontId="0" fillId="5" borderId="1" xfId="0" applyNumberFormat="1" applyFill="1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  <xf numFmtId="49" fontId="0" fillId="5" borderId="1" xfId="0" applyNumberForma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164" fontId="0" fillId="5" borderId="1" xfId="0" applyNumberFormat="1" applyFill="1" applyBorder="1" applyAlignment="1">
      <alignment wrapText="1"/>
    </xf>
    <xf numFmtId="0" fontId="0" fillId="5" borderId="1" xfId="0" applyFill="1" applyBorder="1" applyAlignment="1">
      <alignment wrapText="1"/>
    </xf>
    <xf numFmtId="4" fontId="0" fillId="5" borderId="1" xfId="0" applyNumberFormat="1" applyFill="1" applyBorder="1"/>
    <xf numFmtId="164" fontId="0" fillId="0" borderId="1" xfId="0" applyNumberFormat="1" applyBorder="1"/>
    <xf numFmtId="165" fontId="0" fillId="0" borderId="1" xfId="0" applyNumberFormat="1" applyBorder="1"/>
    <xf numFmtId="4" fontId="0" fillId="0" borderId="1" xfId="0" applyNumberFormat="1" applyBorder="1" applyAlignment="1">
      <alignment wrapText="1"/>
    </xf>
    <xf numFmtId="164" fontId="0" fillId="0" borderId="1" xfId="0" applyNumberFormat="1" applyBorder="1" applyAlignment="1">
      <alignment wrapText="1"/>
    </xf>
    <xf numFmtId="165" fontId="0" fillId="0" borderId="1" xfId="0" applyNumberFormat="1" applyBorder="1" applyAlignment="1">
      <alignment wrapText="1"/>
    </xf>
    <xf numFmtId="16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8</v>
    <v>8</v>
    <v>34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6DB70-699E-4193-B4C8-9FB6F574FF7F}">
  <dimension ref="A1:F16"/>
  <sheetViews>
    <sheetView showGridLines="0" workbookViewId="0"/>
  </sheetViews>
  <sheetFormatPr baseColWidth="10" defaultRowHeight="15" x14ac:dyDescent="0.25"/>
  <cols>
    <col min="1" max="1" width="115.7109375" customWidth="1"/>
  </cols>
  <sheetData>
    <row r="1" spans="1:6" ht="27.95" customHeight="1" x14ac:dyDescent="0.4">
      <c r="A1" s="3" t="s">
        <v>0</v>
      </c>
      <c r="B1" s="1"/>
      <c r="C1" s="1"/>
      <c r="D1" s="1"/>
      <c r="E1" s="1"/>
      <c r="F1" s="1"/>
    </row>
    <row r="2" spans="1:6" x14ac:dyDescent="0.25">
      <c r="A2" s="4"/>
    </row>
    <row r="3" spans="1:6" x14ac:dyDescent="0.25">
      <c r="A3" s="5" t="s">
        <v>1</v>
      </c>
      <c r="B3" s="2"/>
      <c r="C3" s="2"/>
      <c r="D3" s="2"/>
      <c r="E3" s="2"/>
      <c r="F3" s="2"/>
    </row>
    <row r="4" spans="1:6" x14ac:dyDescent="0.25">
      <c r="A4" s="4" t="s">
        <v>2</v>
      </c>
    </row>
    <row r="5" spans="1:6" x14ac:dyDescent="0.25">
      <c r="A5" s="4" t="s">
        <v>3</v>
      </c>
    </row>
    <row r="6" spans="1:6" x14ac:dyDescent="0.25">
      <c r="A6" s="4" t="s">
        <v>4</v>
      </c>
    </row>
    <row r="7" spans="1:6" ht="30" x14ac:dyDescent="0.25">
      <c r="A7" s="4" t="s">
        <v>5</v>
      </c>
    </row>
    <row r="8" spans="1:6" x14ac:dyDescent="0.25">
      <c r="A8" s="4"/>
    </row>
    <row r="9" spans="1:6" x14ac:dyDescent="0.25">
      <c r="A9" s="5" t="s">
        <v>6</v>
      </c>
      <c r="B9" s="2"/>
      <c r="C9" s="2"/>
      <c r="D9" s="2"/>
      <c r="E9" s="2"/>
      <c r="F9" s="2"/>
    </row>
    <row r="10" spans="1:6" ht="30" x14ac:dyDescent="0.25">
      <c r="A10" s="4" t="s">
        <v>7</v>
      </c>
    </row>
    <row r="11" spans="1:6" ht="30" x14ac:dyDescent="0.25">
      <c r="A11" s="4" t="s">
        <v>8</v>
      </c>
    </row>
    <row r="12" spans="1:6" x14ac:dyDescent="0.25">
      <c r="A12" s="4" t="s">
        <v>9</v>
      </c>
    </row>
    <row r="13" spans="1:6" x14ac:dyDescent="0.25">
      <c r="A13" s="4" t="s">
        <v>10</v>
      </c>
    </row>
    <row r="14" spans="1:6" x14ac:dyDescent="0.25">
      <c r="A14" s="5" t="s">
        <v>11</v>
      </c>
      <c r="B14" s="2"/>
      <c r="C14" s="2"/>
      <c r="D14" s="2"/>
      <c r="E14" s="2"/>
      <c r="F14" s="2"/>
    </row>
    <row r="15" spans="1:6" x14ac:dyDescent="0.25">
      <c r="A15" s="4" t="s">
        <v>12</v>
      </c>
    </row>
    <row r="16" spans="1:6" x14ac:dyDescent="0.25">
      <c r="A16" s="4" t="s">
        <v>13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2C53D-41E2-4AB3-8D9E-A509DD5E74A5}">
  <dimension ref="A1:F13"/>
  <sheetViews>
    <sheetView showGridLines="0" workbookViewId="0">
      <selection sqref="A1:F1"/>
    </sheetView>
  </sheetViews>
  <sheetFormatPr baseColWidth="10" defaultRowHeight="15" x14ac:dyDescent="0.25"/>
  <cols>
    <col min="1" max="1" width="42.7109375" style="4" customWidth="1"/>
    <col min="2" max="2" width="14.7109375" style="4" customWidth="1"/>
    <col min="3" max="3" width="48.7109375" style="4" customWidth="1"/>
    <col min="4" max="4" width="3.7109375" style="4" customWidth="1"/>
    <col min="5" max="5" width="24.7109375" style="4" customWidth="1"/>
    <col min="6" max="6" width="50.7109375" style="4" customWidth="1"/>
  </cols>
  <sheetData>
    <row r="1" spans="1:6" ht="27.95" customHeight="1" x14ac:dyDescent="0.4">
      <c r="A1" s="3" t="s">
        <v>14</v>
      </c>
      <c r="B1" s="3"/>
      <c r="C1" s="3"/>
      <c r="D1" s="3"/>
      <c r="E1" s="3"/>
      <c r="F1" s="3"/>
    </row>
    <row r="3" spans="1:6" x14ac:dyDescent="0.25">
      <c r="A3" s="12" t="s">
        <v>15</v>
      </c>
      <c r="B3" s="13" t="s">
        <v>16</v>
      </c>
      <c r="E3" s="4" t="s">
        <v>17</v>
      </c>
      <c r="F3" s="4" t="str" cm="1">
        <f t="array" aca="1" ref="F3" ca="1">_xll.QS.QUOTES.CREATE("SwapExample.Quotes",B3)</f>
        <v>QSObject:QuoteStore:SwapExample.Quotes:9</v>
      </c>
    </row>
    <row r="5" spans="1:6" x14ac:dyDescent="0.25">
      <c r="A5" s="14" t="s">
        <v>18</v>
      </c>
      <c r="B5" s="14" t="s">
        <v>19</v>
      </c>
      <c r="C5" s="14" t="s">
        <v>20</v>
      </c>
      <c r="E5" s="14" t="s">
        <v>29</v>
      </c>
      <c r="F5" s="14" t="s">
        <v>30</v>
      </c>
    </row>
    <row r="6" spans="1:6" x14ac:dyDescent="0.25">
      <c r="A6" s="12" t="s">
        <v>21</v>
      </c>
      <c r="B6" s="15">
        <f>0.045</f>
        <v>4.4999999999999998E-2</v>
      </c>
      <c r="C6" s="12" t="str" cm="1">
        <f t="array" aca="1" ref="C6" ca="1">_xll.QS.QUOTES.SET($F$3,A6,B6,,)</f>
        <v>QSObject:QuoteStore:SwapExample.Quotes:9</v>
      </c>
      <c r="E6" s="12" t="s">
        <v>31</v>
      </c>
      <c r="F6" s="16" t="s">
        <v>32</v>
      </c>
    </row>
    <row r="7" spans="1:6" x14ac:dyDescent="0.25">
      <c r="A7" s="12" t="s">
        <v>22</v>
      </c>
      <c r="B7" s="15">
        <f>0.04837</f>
        <v>4.8370000000000003E-2</v>
      </c>
      <c r="C7" s="12" t="str" cm="1">
        <f t="array" aca="1" ref="C7" ca="1">_xll.QS.QUOTES.SET(C6,A7,B7,,)</f>
        <v>QSObject:QuoteStore:SwapExample.Quotes:9</v>
      </c>
      <c r="E7" s="12" t="s">
        <v>33</v>
      </c>
      <c r="F7" s="16" t="s">
        <v>34</v>
      </c>
    </row>
    <row r="8" spans="1:6" x14ac:dyDescent="0.25">
      <c r="A8" s="12" t="s">
        <v>23</v>
      </c>
      <c r="B8" s="15">
        <f>0.04528</f>
        <v>4.5280000000000001E-2</v>
      </c>
      <c r="C8" s="12" t="str" cm="1">
        <f t="array" aca="1" ref="C8" ca="1">_xll.QS.QUOTES.SET(C7,A8,B8,,)</f>
        <v>QSObject:QuoteStore:SwapExample.Quotes:9</v>
      </c>
      <c r="E8" s="12" t="s">
        <v>35</v>
      </c>
      <c r="F8" s="16" t="s">
        <v>36</v>
      </c>
    </row>
    <row r="9" spans="1:6" x14ac:dyDescent="0.25">
      <c r="A9" s="12" t="s">
        <v>24</v>
      </c>
      <c r="B9" s="15">
        <f>0.0426</f>
        <v>4.2599999999999999E-2</v>
      </c>
      <c r="C9" s="12" t="str" cm="1">
        <f t="array" aca="1" ref="C9" ca="1">_xll.QS.QUOTES.SET(C8,A9,B9,,)</f>
        <v>QSObject:QuoteStore:SwapExample.Quotes:9</v>
      </c>
      <c r="E9" s="12" t="s">
        <v>37</v>
      </c>
      <c r="F9" s="16" t="b">
        <f>TRUE</f>
        <v>1</v>
      </c>
    </row>
    <row r="10" spans="1:6" x14ac:dyDescent="0.25">
      <c r="A10" s="12" t="s">
        <v>25</v>
      </c>
      <c r="B10" s="15">
        <f>0.04077</f>
        <v>4.0770000000000001E-2</v>
      </c>
      <c r="C10" s="12" t="str" cm="1">
        <f t="array" aca="1" ref="C10" ca="1">_xll.QS.QUOTES.SET(C9,A10,B10,,)</f>
        <v>QSObject:QuoteStore:SwapExample.Quotes:9</v>
      </c>
      <c r="E10" s="12" t="s">
        <v>38</v>
      </c>
      <c r="F10" s="12" t="str" cm="1">
        <f t="array" aca="1" ref="F10" ca="1">_xll.QS.CURVE.CONFIGS.CREATE("SwapExample.Curves")</f>
        <v>QSObject:CurveConfigurations:SwapExample.Curves:2</v>
      </c>
    </row>
    <row r="11" spans="1:6" x14ac:dyDescent="0.25">
      <c r="A11" s="12" t="s">
        <v>26</v>
      </c>
      <c r="B11" s="15">
        <f>0.04033</f>
        <v>4.0329999999999998E-2</v>
      </c>
      <c r="C11" s="12" t="str" cm="1">
        <f t="array" aca="1" ref="C11" ca="1">_xll.QS.QUOTES.SET(C10,A11,B11,,)</f>
        <v>QSObject:QuoteStore:SwapExample.Quotes:9</v>
      </c>
      <c r="E11" s="12" t="s">
        <v>39</v>
      </c>
      <c r="F11" s="12" t="str" cm="1">
        <f t="array" aca="1" ref="F11" ca="1">_xll.QS.CURVE.CONFIGS.ADD(F10,F6,F7,F8,F9,A6:A13)</f>
        <v>QSObject:CurveConfigurations:SwapExample.Curves:2</v>
      </c>
    </row>
    <row r="12" spans="1:6" x14ac:dyDescent="0.25">
      <c r="A12" s="12" t="s">
        <v>27</v>
      </c>
      <c r="B12" s="15">
        <f>0.03898</f>
        <v>3.8980000000000001E-2</v>
      </c>
      <c r="C12" s="12" t="str" cm="1">
        <f t="array" aca="1" ref="C12" ca="1">_xll.QS.QUOTES.SET(C11,A12,B12,,)</f>
        <v>QSObject:QuoteStore:SwapExample.Quotes:9</v>
      </c>
    </row>
    <row r="13" spans="1:6" x14ac:dyDescent="0.25">
      <c r="A13" s="12" t="s">
        <v>28</v>
      </c>
      <c r="B13" s="15">
        <f>0.03738</f>
        <v>3.7379999999999997E-2</v>
      </c>
      <c r="C13" s="12" t="str" cm="1">
        <f t="array" aca="1" ref="C13" ca="1">_xll.QS.QUOTES.SET(C12,A13,B13,,)</f>
        <v>QSObject:QuoteStore:SwapExample.Quotes:9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C3E1D-8848-4FA8-8328-8C19209ECA92}">
  <dimension ref="A1:D15"/>
  <sheetViews>
    <sheetView showGridLines="0" workbookViewId="0">
      <selection sqref="A1:D1"/>
    </sheetView>
  </sheetViews>
  <sheetFormatPr baseColWidth="10" defaultRowHeight="15" x14ac:dyDescent="0.25"/>
  <cols>
    <col min="1" max="1" width="27.7109375" customWidth="1"/>
    <col min="2" max="2" width="23.7109375" customWidth="1"/>
    <col min="4" max="4" width="42.7109375" customWidth="1"/>
  </cols>
  <sheetData>
    <row r="1" spans="1:4" ht="27.95" customHeight="1" x14ac:dyDescent="0.4">
      <c r="A1" s="1" t="s">
        <v>40</v>
      </c>
      <c r="B1" s="1"/>
      <c r="C1" s="1"/>
      <c r="D1" s="1"/>
    </row>
    <row r="3" spans="1:4" ht="105" x14ac:dyDescent="0.25">
      <c r="A3" s="6" t="s">
        <v>41</v>
      </c>
      <c r="B3" s="6" t="s">
        <v>42</v>
      </c>
      <c r="D3" s="4" t="s">
        <v>59</v>
      </c>
    </row>
    <row r="4" spans="1:4" x14ac:dyDescent="0.25">
      <c r="A4" s="7" t="s">
        <v>43</v>
      </c>
      <c r="B4" s="17">
        <f>10000000</f>
        <v>10000000</v>
      </c>
    </row>
    <row r="5" spans="1:4" x14ac:dyDescent="0.25">
      <c r="A5" s="7" t="s">
        <v>44</v>
      </c>
      <c r="B5" s="11">
        <f>0.0425</f>
        <v>4.2500000000000003E-2</v>
      </c>
    </row>
    <row r="6" spans="1:4" x14ac:dyDescent="0.25">
      <c r="A6" s="7" t="s">
        <v>45</v>
      </c>
      <c r="B6" s="9" t="s">
        <v>16</v>
      </c>
    </row>
    <row r="7" spans="1:4" x14ac:dyDescent="0.25">
      <c r="A7" s="7" t="s">
        <v>46</v>
      </c>
      <c r="B7" s="9" t="s">
        <v>47</v>
      </c>
    </row>
    <row r="8" spans="1:4" x14ac:dyDescent="0.25">
      <c r="A8" s="7" t="s">
        <v>48</v>
      </c>
      <c r="B8" s="10" t="s">
        <v>49</v>
      </c>
    </row>
    <row r="9" spans="1:4" x14ac:dyDescent="0.25">
      <c r="A9" s="7" t="s">
        <v>31</v>
      </c>
      <c r="B9" s="10" t="s">
        <v>32</v>
      </c>
    </row>
    <row r="10" spans="1:4" x14ac:dyDescent="0.25">
      <c r="A10" s="7" t="s">
        <v>50</v>
      </c>
      <c r="B10" s="10" t="s">
        <v>51</v>
      </c>
    </row>
    <row r="11" spans="1:4" x14ac:dyDescent="0.25">
      <c r="A11" s="7" t="s">
        <v>33</v>
      </c>
      <c r="B11" s="10" t="s">
        <v>34</v>
      </c>
    </row>
    <row r="12" spans="1:4" x14ac:dyDescent="0.25">
      <c r="A12" s="7" t="s">
        <v>52</v>
      </c>
      <c r="B12" s="10" t="s">
        <v>53</v>
      </c>
    </row>
    <row r="13" spans="1:4" x14ac:dyDescent="0.25">
      <c r="A13" s="7" t="s">
        <v>54</v>
      </c>
      <c r="B13" s="10" t="s">
        <v>55</v>
      </c>
    </row>
    <row r="14" spans="1:4" x14ac:dyDescent="0.25">
      <c r="A14" s="7" t="s">
        <v>56</v>
      </c>
      <c r="B14" s="10" t="s">
        <v>55</v>
      </c>
    </row>
    <row r="15" spans="1:4" x14ac:dyDescent="0.25">
      <c r="A15" s="7" t="s">
        <v>57</v>
      </c>
      <c r="B15" s="10" t="s">
        <v>58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DE806-EF24-4B9A-89CA-3EC6BDAC2729}">
  <dimension ref="A1:D11"/>
  <sheetViews>
    <sheetView showGridLines="0" tabSelected="1" workbookViewId="0">
      <selection activeCell="A4" sqref="A4"/>
    </sheetView>
  </sheetViews>
  <sheetFormatPr baseColWidth="10" defaultRowHeight="15" x14ac:dyDescent="0.25"/>
  <cols>
    <col min="1" max="1" width="24.7109375" customWidth="1"/>
    <col min="2" max="2" width="58.7109375" customWidth="1"/>
    <col min="3" max="3" width="40.7109375" customWidth="1"/>
  </cols>
  <sheetData>
    <row r="1" spans="1:4" ht="27.95" customHeight="1" x14ac:dyDescent="0.4">
      <c r="A1" s="1" t="s">
        <v>60</v>
      </c>
      <c r="B1" s="1"/>
      <c r="C1" s="1"/>
      <c r="D1" s="1"/>
    </row>
    <row r="3" spans="1:4" x14ac:dyDescent="0.25">
      <c r="A3" s="6" t="s">
        <v>61</v>
      </c>
      <c r="B3" s="6" t="s">
        <v>62</v>
      </c>
      <c r="C3" s="6" t="s">
        <v>63</v>
      </c>
    </row>
    <row r="4" spans="1:4" x14ac:dyDescent="0.25">
      <c r="A4" s="7" t="s">
        <v>64</v>
      </c>
      <c r="B4" s="12" t="str">
        <f ca="1">'Curve Setup'!C13</f>
        <v>QSObject:QuoteStore:SwapExample.Quotes:9</v>
      </c>
      <c r="C4" s="7" t="s">
        <v>65</v>
      </c>
    </row>
    <row r="5" spans="1:4" x14ac:dyDescent="0.25">
      <c r="A5" s="7" t="s">
        <v>66</v>
      </c>
      <c r="B5" s="12" t="str">
        <f ca="1">'Curve Setup'!F11</f>
        <v>QSObject:CurveConfigurations:SwapExample.Curves:2</v>
      </c>
      <c r="C5" s="7" t="s">
        <v>67</v>
      </c>
    </row>
    <row r="6" spans="1:4" x14ac:dyDescent="0.25">
      <c r="A6" s="7" t="s">
        <v>68</v>
      </c>
      <c r="B6" s="12" t="str" cm="1">
        <f t="array" aca="1" ref="B6" ca="1">_xll.QS.CONTEXT.CREATE("SwapExample.Context",B4,B5,,,,,,,,,"USD","SOFR")</f>
        <v>QSObject:PricingContext:SwapExample.Context:1</v>
      </c>
      <c r="C6" s="7" t="s">
        <v>69</v>
      </c>
    </row>
    <row r="7" spans="1:4" x14ac:dyDescent="0.25">
      <c r="A7" s="7" t="s">
        <v>70</v>
      </c>
      <c r="B7" s="12" t="str" cm="1">
        <f t="array" aca="1" ref="B7" ca="1">_xll.QS.TRADE.SWAP("SwapExample.Swap",'Curve Setup'!B3,'Trade Inputs'!B6,'Trade Inputs'!B7,'Trade Inputs'!B8,'Trade Inputs'!B9,'Trade Inputs'!B4,'Trade Inputs'!B5,0,'Trade Inputs'!B10,'Trade Inputs'!B11,'Trade Inputs'!B12,'Trade Inputs'!B13,'Trade Inputs'!B14,'Trade Inputs'!B15)</f>
        <v>QSObject:SwapTrade:SwapExample.Swap:1</v>
      </c>
      <c r="C7" s="7" t="s">
        <v>71</v>
      </c>
    </row>
    <row r="8" spans="1:4" x14ac:dyDescent="0.25">
      <c r="A8" s="7" t="s">
        <v>72</v>
      </c>
      <c r="B8" s="20" cm="1">
        <f t="array" aca="1" ref="B8" ca="1">_xll.QS.PRICE(B7,B6)</f>
        <v>78178.998518500273</v>
      </c>
      <c r="C8" s="7" t="s">
        <v>73</v>
      </c>
    </row>
    <row r="9" spans="1:4" x14ac:dyDescent="0.25">
      <c r="A9" s="7" t="s">
        <v>74</v>
      </c>
      <c r="B9" s="21" cm="1">
        <f t="array" aca="1" ref="B9" ca="1">_xll.QS.FAIR.RATE(B7,B6)</f>
        <v>4.076999999999989E-2</v>
      </c>
      <c r="C9" s="7" t="s">
        <v>75</v>
      </c>
    </row>
    <row r="10" spans="1:4" ht="30" x14ac:dyDescent="0.25">
      <c r="A10" s="7" t="s">
        <v>76</v>
      </c>
      <c r="B10" s="12" t="str" cm="1">
        <f t="array" aca="1" ref="B10" ca="1">_xll.QS.CURVE.GET(B6,'Trade Inputs'!B9)</f>
        <v>QSObject:DiscountCurveElement:context_curve_166074be978ae6a5:1</v>
      </c>
      <c r="C10" s="7" t="s">
        <v>77</v>
      </c>
    </row>
    <row r="11" spans="1:4" x14ac:dyDescent="0.25">
      <c r="A11" s="7" t="s">
        <v>78</v>
      </c>
      <c r="B11" s="22" cm="1">
        <f t="array" aca="1" ref="B11" ca="1">_xll.QS.CURVE.DISCOUNT(B10,'Trade Inputs'!B7)</f>
        <v>0.81575966649716669</v>
      </c>
      <c r="C11" s="7" t="s">
        <v>79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91062-3A41-4F31-994A-5980F123427F}">
  <dimension ref="A1:H200"/>
  <sheetViews>
    <sheetView showGridLines="0" workbookViewId="0">
      <selection sqref="A1:H1"/>
    </sheetView>
  </sheetViews>
  <sheetFormatPr baseColWidth="10" defaultRowHeight="15" x14ac:dyDescent="0.25"/>
  <cols>
    <col min="1" max="1" width="38.7109375" customWidth="1"/>
    <col min="2" max="2" width="16.7109375" customWidth="1"/>
    <col min="3" max="5" width="20.7109375" customWidth="1"/>
    <col min="7" max="7" width="20.7109375" customWidth="1"/>
    <col min="8" max="8" width="58.7109375" customWidth="1"/>
  </cols>
  <sheetData>
    <row r="1" spans="1:8" ht="27.95" customHeight="1" x14ac:dyDescent="0.4">
      <c r="A1" s="1" t="s">
        <v>80</v>
      </c>
      <c r="B1" s="1"/>
      <c r="C1" s="1"/>
      <c r="D1" s="1"/>
      <c r="E1" s="1"/>
      <c r="F1" s="1"/>
      <c r="G1" s="1"/>
      <c r="H1" s="1"/>
    </row>
    <row r="3" spans="1:8" x14ac:dyDescent="0.25">
      <c r="A3" s="2" t="s">
        <v>81</v>
      </c>
      <c r="B3" s="2"/>
      <c r="C3" s="2"/>
      <c r="D3" s="2"/>
      <c r="E3" s="2"/>
      <c r="G3" s="2" t="s">
        <v>82</v>
      </c>
      <c r="H3" s="2"/>
    </row>
    <row r="4" spans="1:8" ht="30" x14ac:dyDescent="0.25">
      <c r="A4" t="str" cm="1">
        <f t="array" aca="1" ref="A4:E13" ca="1">_xll.QS.CURVE.TABLE(Pricing!B10,"Simple","Annual")</f>
        <v>Pillar</v>
      </c>
      <c r="B4" t="str">
        <f ca="1"/>
        <v>Date</v>
      </c>
      <c r="C4" t="str">
        <f ca="1"/>
        <v>Discount factor</v>
      </c>
      <c r="D4" t="str">
        <f ca="1"/>
        <v>Zero rate</v>
      </c>
      <c r="E4" t="str">
        <f ca="1"/>
        <v>Forward from prior node</v>
      </c>
      <c r="G4" s="7" t="s">
        <v>83</v>
      </c>
      <c r="H4" s="12" t="str">
        <f ca="1">Pricing!B10</f>
        <v>QSObject:DiscountCurveElement:context_curve_166074be978ae6a5:1</v>
      </c>
    </row>
    <row r="5" spans="1:8" x14ac:dyDescent="0.25">
      <c r="A5" t="str">
        <f ca="1"/>
        <v>Reference</v>
      </c>
      <c r="B5" t="str">
        <f ca="1"/>
        <v>2026-02-24</v>
      </c>
      <c r="C5" s="23">
        <f ca="1"/>
        <v>1</v>
      </c>
      <c r="D5" s="24">
        <f ca="1"/>
        <v>0</v>
      </c>
      <c r="E5" s="24">
        <f ca="1"/>
        <v>0</v>
      </c>
      <c r="G5" s="7" t="s">
        <v>84</v>
      </c>
      <c r="H5" s="8" t="str">
        <f>'Trade Inputs'!B7</f>
        <v>2031-02-24</v>
      </c>
    </row>
    <row r="6" spans="1:8" x14ac:dyDescent="0.25">
      <c r="A6" t="str">
        <f ca="1"/>
        <v>FixedRateDeposit_USD_SOFR_1D</v>
      </c>
      <c r="B6" t="str">
        <f ca="1"/>
        <v>2026-02-25</v>
      </c>
      <c r="C6" s="23">
        <f ca="1"/>
        <v>0.99987501562304715</v>
      </c>
      <c r="D6" s="24">
        <f ca="1"/>
        <v>4.499999999997506E-2</v>
      </c>
      <c r="E6" s="24">
        <f ca="1"/>
        <v>4.499999999997506E-2</v>
      </c>
      <c r="G6" s="7" t="s">
        <v>85</v>
      </c>
      <c r="H6" s="19" cm="1">
        <f t="array" aca="1" ref="H6" ca="1">_xll.QS.CURVE.DISCOUNT(Pricing!B10,H5)</f>
        <v>0.81575966649716669</v>
      </c>
    </row>
    <row r="7" spans="1:8" x14ac:dyDescent="0.25">
      <c r="A7" t="str">
        <f ca="1"/>
        <v>OIS_USD_SOFR_1Y</v>
      </c>
      <c r="B7" t="str">
        <f ca="1"/>
        <v>2027-02-24</v>
      </c>
      <c r="C7" s="23">
        <f ca="1"/>
        <v>0.95270469165391924</v>
      </c>
      <c r="D7" s="24">
        <f ca="1"/>
        <v>4.8963154919340258E-2</v>
      </c>
      <c r="E7" s="24">
        <f ca="1"/>
        <v>4.8967921717365588E-2</v>
      </c>
      <c r="G7" s="7" t="s">
        <v>86</v>
      </c>
      <c r="H7" s="8" t="str">
        <f>'Trade Inputs'!B6</f>
        <v>2026-02-24</v>
      </c>
    </row>
    <row r="8" spans="1:8" x14ac:dyDescent="0.25">
      <c r="A8" t="str">
        <f ca="1"/>
        <v>OIS_USD_SOFR_2Y</v>
      </c>
      <c r="B8" t="str">
        <f ca="1"/>
        <v>2028-02-24</v>
      </c>
      <c r="C8" s="23">
        <f ca="1"/>
        <v>0.91334828561424608</v>
      </c>
      <c r="D8" s="24">
        <f ca="1"/>
        <v>4.6786481096951361E-2</v>
      </c>
      <c r="E8" s="24">
        <f ca="1"/>
        <v>4.2499972684252929E-2</v>
      </c>
      <c r="G8" s="7" t="s">
        <v>87</v>
      </c>
      <c r="H8" s="8" t="str">
        <f>'Trade Inputs'!B7</f>
        <v>2031-02-24</v>
      </c>
    </row>
    <row r="9" spans="1:8" x14ac:dyDescent="0.25">
      <c r="A9" t="str">
        <f ca="1"/>
        <v>OIS_USD_SOFR_3Y</v>
      </c>
      <c r="B9" t="str">
        <f ca="1"/>
        <v>2029-02-24</v>
      </c>
      <c r="C9" s="23">
        <f ca="1"/>
        <v>0.88000623251528098</v>
      </c>
      <c r="D9" s="24">
        <f ca="1"/>
        <v>4.4788331901869836E-2</v>
      </c>
      <c r="E9" s="24">
        <f ca="1"/>
        <v>3.7267306585793282E-2</v>
      </c>
      <c r="G9" s="7" t="s">
        <v>88</v>
      </c>
      <c r="H9" s="18" cm="1">
        <f t="array" aca="1" ref="H9" ca="1">_xll.QS.CURVE.FORWARD(Pricing!B10,H7,H8,"Simple","Annual")</f>
        <v>4.4527079389900664E-2</v>
      </c>
    </row>
    <row r="10" spans="1:8" x14ac:dyDescent="0.25">
      <c r="A10" t="str">
        <f ca="1"/>
        <v>OIS_USD_SOFR_5Y</v>
      </c>
      <c r="B10" t="str">
        <f ca="1"/>
        <v>2031-02-24</v>
      </c>
      <c r="C10" s="23">
        <f ca="1"/>
        <v>0.81575966649716669</v>
      </c>
      <c r="D10" s="24">
        <f ca="1"/>
        <v>4.4527079389900664E-2</v>
      </c>
      <c r="E10" s="24">
        <f ca="1"/>
        <v>3.8838936683860174E-2</v>
      </c>
    </row>
    <row r="11" spans="1:8" x14ac:dyDescent="0.25">
      <c r="A11" t="str">
        <f ca="1"/>
        <v>OIS_USD_SOFR_7Y</v>
      </c>
      <c r="B11" t="str">
        <f ca="1"/>
        <v>2033-02-24</v>
      </c>
      <c r="C11" s="23">
        <f ca="1"/>
        <v>0.7541289638021812</v>
      </c>
      <c r="D11" s="24">
        <f ca="1"/>
        <v>4.590220235950191E-2</v>
      </c>
      <c r="E11" s="24">
        <f ca="1"/>
        <v>4.0247288072631213E-2</v>
      </c>
    </row>
    <row r="12" spans="1:8" x14ac:dyDescent="0.25">
      <c r="A12" t="str">
        <f ca="1"/>
        <v>OIS_USD_SOFR_10Y</v>
      </c>
      <c r="B12" t="str">
        <f ca="1"/>
        <v>2036-02-24</v>
      </c>
      <c r="C12" s="23">
        <f ca="1"/>
        <v>0.67827034133521569</v>
      </c>
      <c r="D12" s="24">
        <f ca="1"/>
        <v>4.6758438880714411E-2</v>
      </c>
      <c r="E12" s="24">
        <f ca="1"/>
        <v>3.6769735554018544E-2</v>
      </c>
    </row>
    <row r="13" spans="1:8" x14ac:dyDescent="0.25">
      <c r="A13" t="str">
        <f ca="1"/>
        <v>OIS_USD_SOFR_30Y</v>
      </c>
      <c r="B13" t="str">
        <f ca="1"/>
        <v>2056-02-24</v>
      </c>
      <c r="C13" s="23">
        <f ca="1"/>
        <v>0.32873597856671077</v>
      </c>
      <c r="D13" s="24">
        <f ca="1"/>
        <v>6.7089873251240939E-2</v>
      </c>
      <c r="E13" s="24">
        <f ca="1"/>
        <v>5.239923180706197E-2</v>
      </c>
    </row>
    <row r="14" spans="1:8" x14ac:dyDescent="0.25">
      <c r="C14" s="23"/>
      <c r="D14" s="24"/>
      <c r="E14" s="24"/>
    </row>
    <row r="15" spans="1:8" x14ac:dyDescent="0.25">
      <c r="C15" s="23"/>
      <c r="D15" s="24"/>
      <c r="E15" s="24"/>
    </row>
    <row r="16" spans="1:8" x14ac:dyDescent="0.25">
      <c r="C16" s="23"/>
      <c r="D16" s="24"/>
      <c r="E16" s="24"/>
    </row>
    <row r="17" spans="3:5" x14ac:dyDescent="0.25">
      <c r="C17" s="23"/>
      <c r="D17" s="24"/>
      <c r="E17" s="24"/>
    </row>
    <row r="18" spans="3:5" x14ac:dyDescent="0.25">
      <c r="C18" s="23"/>
      <c r="D18" s="24"/>
      <c r="E18" s="24"/>
    </row>
    <row r="19" spans="3:5" x14ac:dyDescent="0.25">
      <c r="C19" s="23"/>
      <c r="D19" s="24"/>
      <c r="E19" s="24"/>
    </row>
    <row r="20" spans="3:5" x14ac:dyDescent="0.25">
      <c r="C20" s="23"/>
      <c r="D20" s="24"/>
      <c r="E20" s="24"/>
    </row>
    <row r="21" spans="3:5" x14ac:dyDescent="0.25">
      <c r="C21" s="23"/>
      <c r="D21" s="24"/>
      <c r="E21" s="24"/>
    </row>
    <row r="22" spans="3:5" x14ac:dyDescent="0.25">
      <c r="C22" s="23"/>
      <c r="D22" s="24"/>
      <c r="E22" s="24"/>
    </row>
    <row r="23" spans="3:5" x14ac:dyDescent="0.25">
      <c r="C23" s="23"/>
      <c r="D23" s="24"/>
      <c r="E23" s="24"/>
    </row>
    <row r="24" spans="3:5" x14ac:dyDescent="0.25">
      <c r="C24" s="23"/>
      <c r="D24" s="24"/>
      <c r="E24" s="24"/>
    </row>
    <row r="25" spans="3:5" x14ac:dyDescent="0.25">
      <c r="C25" s="23"/>
      <c r="D25" s="24"/>
      <c r="E25" s="24"/>
    </row>
    <row r="26" spans="3:5" x14ac:dyDescent="0.25">
      <c r="C26" s="23"/>
      <c r="D26" s="24"/>
      <c r="E26" s="24"/>
    </row>
    <row r="27" spans="3:5" x14ac:dyDescent="0.25">
      <c r="C27" s="23"/>
      <c r="D27" s="24"/>
      <c r="E27" s="24"/>
    </row>
    <row r="28" spans="3:5" x14ac:dyDescent="0.25">
      <c r="C28" s="23"/>
      <c r="D28" s="24"/>
      <c r="E28" s="24"/>
    </row>
    <row r="29" spans="3:5" x14ac:dyDescent="0.25">
      <c r="C29" s="23"/>
      <c r="D29" s="24"/>
      <c r="E29" s="24"/>
    </row>
    <row r="30" spans="3:5" x14ac:dyDescent="0.25">
      <c r="C30" s="23"/>
      <c r="D30" s="24"/>
      <c r="E30" s="24"/>
    </row>
    <row r="31" spans="3:5" x14ac:dyDescent="0.25">
      <c r="C31" s="23"/>
      <c r="D31" s="24"/>
      <c r="E31" s="24"/>
    </row>
    <row r="32" spans="3:5" x14ac:dyDescent="0.25">
      <c r="C32" s="23"/>
      <c r="D32" s="24"/>
      <c r="E32" s="24"/>
    </row>
    <row r="33" spans="3:5" x14ac:dyDescent="0.25">
      <c r="C33" s="23"/>
      <c r="D33" s="24"/>
      <c r="E33" s="24"/>
    </row>
    <row r="34" spans="3:5" x14ac:dyDescent="0.25">
      <c r="C34" s="23"/>
      <c r="D34" s="24"/>
      <c r="E34" s="24"/>
    </row>
    <row r="35" spans="3:5" x14ac:dyDescent="0.25">
      <c r="C35" s="23"/>
      <c r="D35" s="24"/>
      <c r="E35" s="24"/>
    </row>
    <row r="36" spans="3:5" x14ac:dyDescent="0.25">
      <c r="C36" s="23"/>
      <c r="D36" s="24"/>
      <c r="E36" s="24"/>
    </row>
    <row r="37" spans="3:5" x14ac:dyDescent="0.25">
      <c r="C37" s="23"/>
      <c r="D37" s="24"/>
      <c r="E37" s="24"/>
    </row>
    <row r="38" spans="3:5" x14ac:dyDescent="0.25">
      <c r="C38" s="23"/>
      <c r="D38" s="24"/>
      <c r="E38" s="24"/>
    </row>
    <row r="39" spans="3:5" x14ac:dyDescent="0.25">
      <c r="C39" s="23"/>
      <c r="D39" s="24"/>
      <c r="E39" s="24"/>
    </row>
    <row r="40" spans="3:5" x14ac:dyDescent="0.25">
      <c r="C40" s="23"/>
      <c r="D40" s="24"/>
      <c r="E40" s="24"/>
    </row>
    <row r="41" spans="3:5" x14ac:dyDescent="0.25">
      <c r="C41" s="23"/>
      <c r="D41" s="24"/>
      <c r="E41" s="24"/>
    </row>
    <row r="42" spans="3:5" x14ac:dyDescent="0.25">
      <c r="C42" s="23"/>
      <c r="D42" s="24"/>
      <c r="E42" s="24"/>
    </row>
    <row r="43" spans="3:5" x14ac:dyDescent="0.25">
      <c r="C43" s="23"/>
      <c r="D43" s="24"/>
      <c r="E43" s="24"/>
    </row>
    <row r="44" spans="3:5" x14ac:dyDescent="0.25">
      <c r="C44" s="23"/>
      <c r="D44" s="24"/>
      <c r="E44" s="24"/>
    </row>
    <row r="45" spans="3:5" x14ac:dyDescent="0.25">
      <c r="C45" s="23"/>
      <c r="D45" s="24"/>
      <c r="E45" s="24"/>
    </row>
    <row r="46" spans="3:5" x14ac:dyDescent="0.25">
      <c r="C46" s="23"/>
      <c r="D46" s="24"/>
      <c r="E46" s="24"/>
    </row>
    <row r="47" spans="3:5" x14ac:dyDescent="0.25">
      <c r="C47" s="23"/>
      <c r="D47" s="24"/>
      <c r="E47" s="24"/>
    </row>
    <row r="48" spans="3:5" x14ac:dyDescent="0.25">
      <c r="C48" s="23"/>
      <c r="D48" s="24"/>
      <c r="E48" s="24"/>
    </row>
    <row r="49" spans="3:5" x14ac:dyDescent="0.25">
      <c r="C49" s="23"/>
      <c r="D49" s="24"/>
      <c r="E49" s="24"/>
    </row>
    <row r="50" spans="3:5" x14ac:dyDescent="0.25">
      <c r="C50" s="23"/>
      <c r="D50" s="24"/>
      <c r="E50" s="24"/>
    </row>
    <row r="51" spans="3:5" x14ac:dyDescent="0.25">
      <c r="C51" s="23"/>
      <c r="D51" s="24"/>
      <c r="E51" s="24"/>
    </row>
    <row r="52" spans="3:5" x14ac:dyDescent="0.25">
      <c r="C52" s="23"/>
      <c r="D52" s="24"/>
      <c r="E52" s="24"/>
    </row>
    <row r="53" spans="3:5" x14ac:dyDescent="0.25">
      <c r="C53" s="23"/>
      <c r="D53" s="24"/>
      <c r="E53" s="24"/>
    </row>
    <row r="54" spans="3:5" x14ac:dyDescent="0.25">
      <c r="C54" s="23"/>
      <c r="D54" s="24"/>
      <c r="E54" s="24"/>
    </row>
    <row r="55" spans="3:5" x14ac:dyDescent="0.25">
      <c r="C55" s="23"/>
      <c r="D55" s="24"/>
      <c r="E55" s="24"/>
    </row>
    <row r="56" spans="3:5" x14ac:dyDescent="0.25">
      <c r="C56" s="23"/>
      <c r="D56" s="24"/>
      <c r="E56" s="24"/>
    </row>
    <row r="57" spans="3:5" x14ac:dyDescent="0.25">
      <c r="C57" s="23"/>
      <c r="D57" s="24"/>
      <c r="E57" s="24"/>
    </row>
    <row r="58" spans="3:5" x14ac:dyDescent="0.25">
      <c r="C58" s="23"/>
      <c r="D58" s="24"/>
      <c r="E58" s="24"/>
    </row>
    <row r="59" spans="3:5" x14ac:dyDescent="0.25">
      <c r="C59" s="23"/>
      <c r="D59" s="24"/>
      <c r="E59" s="24"/>
    </row>
    <row r="60" spans="3:5" x14ac:dyDescent="0.25">
      <c r="C60" s="23"/>
      <c r="D60" s="24"/>
      <c r="E60" s="24"/>
    </row>
    <row r="61" spans="3:5" x14ac:dyDescent="0.25">
      <c r="C61" s="23"/>
      <c r="D61" s="24"/>
      <c r="E61" s="24"/>
    </row>
    <row r="62" spans="3:5" x14ac:dyDescent="0.25">
      <c r="C62" s="23"/>
      <c r="D62" s="24"/>
      <c r="E62" s="24"/>
    </row>
    <row r="63" spans="3:5" x14ac:dyDescent="0.25">
      <c r="C63" s="23"/>
      <c r="D63" s="24"/>
      <c r="E63" s="24"/>
    </row>
    <row r="64" spans="3:5" x14ac:dyDescent="0.25">
      <c r="C64" s="23"/>
      <c r="D64" s="24"/>
      <c r="E64" s="24"/>
    </row>
    <row r="65" spans="3:5" x14ac:dyDescent="0.25">
      <c r="C65" s="23"/>
      <c r="D65" s="24"/>
      <c r="E65" s="24"/>
    </row>
    <row r="66" spans="3:5" x14ac:dyDescent="0.25">
      <c r="C66" s="23"/>
      <c r="D66" s="24"/>
      <c r="E66" s="24"/>
    </row>
    <row r="67" spans="3:5" x14ac:dyDescent="0.25">
      <c r="C67" s="23"/>
      <c r="D67" s="24"/>
      <c r="E67" s="24"/>
    </row>
    <row r="68" spans="3:5" x14ac:dyDescent="0.25">
      <c r="C68" s="23"/>
      <c r="D68" s="24"/>
      <c r="E68" s="24"/>
    </row>
    <row r="69" spans="3:5" x14ac:dyDescent="0.25">
      <c r="C69" s="23"/>
      <c r="D69" s="24"/>
      <c r="E69" s="24"/>
    </row>
    <row r="70" spans="3:5" x14ac:dyDescent="0.25">
      <c r="C70" s="23"/>
      <c r="D70" s="24"/>
      <c r="E70" s="24"/>
    </row>
    <row r="71" spans="3:5" x14ac:dyDescent="0.25">
      <c r="C71" s="23"/>
      <c r="D71" s="24"/>
      <c r="E71" s="24"/>
    </row>
    <row r="72" spans="3:5" x14ac:dyDescent="0.25">
      <c r="C72" s="23"/>
      <c r="D72" s="24"/>
      <c r="E72" s="24"/>
    </row>
    <row r="73" spans="3:5" x14ac:dyDescent="0.25">
      <c r="C73" s="23"/>
      <c r="D73" s="24"/>
      <c r="E73" s="24"/>
    </row>
    <row r="74" spans="3:5" x14ac:dyDescent="0.25">
      <c r="C74" s="23"/>
      <c r="D74" s="24"/>
      <c r="E74" s="24"/>
    </row>
    <row r="75" spans="3:5" x14ac:dyDescent="0.25">
      <c r="C75" s="23"/>
      <c r="D75" s="24"/>
      <c r="E75" s="24"/>
    </row>
    <row r="76" spans="3:5" x14ac:dyDescent="0.25">
      <c r="C76" s="23"/>
      <c r="D76" s="24"/>
      <c r="E76" s="24"/>
    </row>
    <row r="77" spans="3:5" x14ac:dyDescent="0.25">
      <c r="C77" s="23"/>
      <c r="D77" s="24"/>
      <c r="E77" s="24"/>
    </row>
    <row r="78" spans="3:5" x14ac:dyDescent="0.25">
      <c r="C78" s="23"/>
      <c r="D78" s="24"/>
      <c r="E78" s="24"/>
    </row>
    <row r="79" spans="3:5" x14ac:dyDescent="0.25">
      <c r="C79" s="23"/>
      <c r="D79" s="24"/>
      <c r="E79" s="24"/>
    </row>
    <row r="80" spans="3:5" x14ac:dyDescent="0.25">
      <c r="C80" s="23"/>
      <c r="D80" s="24"/>
      <c r="E80" s="24"/>
    </row>
    <row r="81" spans="3:5" x14ac:dyDescent="0.25">
      <c r="C81" s="23"/>
      <c r="D81" s="24"/>
      <c r="E81" s="24"/>
    </row>
    <row r="82" spans="3:5" x14ac:dyDescent="0.25">
      <c r="C82" s="23"/>
      <c r="D82" s="24"/>
      <c r="E82" s="24"/>
    </row>
    <row r="83" spans="3:5" x14ac:dyDescent="0.25">
      <c r="C83" s="23"/>
      <c r="D83" s="24"/>
      <c r="E83" s="24"/>
    </row>
    <row r="84" spans="3:5" x14ac:dyDescent="0.25">
      <c r="C84" s="23"/>
      <c r="D84" s="24"/>
      <c r="E84" s="24"/>
    </row>
    <row r="85" spans="3:5" x14ac:dyDescent="0.25">
      <c r="C85" s="23"/>
      <c r="D85" s="24"/>
      <c r="E85" s="24"/>
    </row>
    <row r="86" spans="3:5" x14ac:dyDescent="0.25">
      <c r="C86" s="23"/>
      <c r="D86" s="24"/>
      <c r="E86" s="24"/>
    </row>
    <row r="87" spans="3:5" x14ac:dyDescent="0.25">
      <c r="C87" s="23"/>
      <c r="D87" s="24"/>
      <c r="E87" s="24"/>
    </row>
    <row r="88" spans="3:5" x14ac:dyDescent="0.25">
      <c r="C88" s="23"/>
      <c r="D88" s="24"/>
      <c r="E88" s="24"/>
    </row>
    <row r="89" spans="3:5" x14ac:dyDescent="0.25">
      <c r="C89" s="23"/>
      <c r="D89" s="24"/>
      <c r="E89" s="24"/>
    </row>
    <row r="90" spans="3:5" x14ac:dyDescent="0.25">
      <c r="C90" s="23"/>
      <c r="D90" s="24"/>
      <c r="E90" s="24"/>
    </row>
    <row r="91" spans="3:5" x14ac:dyDescent="0.25">
      <c r="C91" s="23"/>
      <c r="D91" s="24"/>
      <c r="E91" s="24"/>
    </row>
    <row r="92" spans="3:5" x14ac:dyDescent="0.25">
      <c r="C92" s="23"/>
      <c r="D92" s="24"/>
      <c r="E92" s="24"/>
    </row>
    <row r="93" spans="3:5" x14ac:dyDescent="0.25">
      <c r="C93" s="23"/>
      <c r="D93" s="24"/>
      <c r="E93" s="24"/>
    </row>
    <row r="94" spans="3:5" x14ac:dyDescent="0.25">
      <c r="C94" s="23"/>
      <c r="D94" s="24"/>
      <c r="E94" s="24"/>
    </row>
    <row r="95" spans="3:5" x14ac:dyDescent="0.25">
      <c r="C95" s="23"/>
      <c r="D95" s="24"/>
      <c r="E95" s="24"/>
    </row>
    <row r="96" spans="3:5" x14ac:dyDescent="0.25">
      <c r="C96" s="23"/>
      <c r="D96" s="24"/>
      <c r="E96" s="24"/>
    </row>
    <row r="97" spans="3:5" x14ac:dyDescent="0.25">
      <c r="C97" s="23"/>
      <c r="D97" s="24"/>
      <c r="E97" s="24"/>
    </row>
    <row r="98" spans="3:5" x14ac:dyDescent="0.25">
      <c r="C98" s="23"/>
      <c r="D98" s="24"/>
      <c r="E98" s="24"/>
    </row>
    <row r="99" spans="3:5" x14ac:dyDescent="0.25">
      <c r="C99" s="23"/>
      <c r="D99" s="24"/>
      <c r="E99" s="24"/>
    </row>
    <row r="100" spans="3:5" x14ac:dyDescent="0.25">
      <c r="C100" s="23"/>
      <c r="D100" s="24"/>
      <c r="E100" s="24"/>
    </row>
    <row r="101" spans="3:5" x14ac:dyDescent="0.25">
      <c r="C101" s="23"/>
      <c r="D101" s="24"/>
      <c r="E101" s="24"/>
    </row>
    <row r="102" spans="3:5" x14ac:dyDescent="0.25">
      <c r="C102" s="23"/>
      <c r="D102" s="24"/>
      <c r="E102" s="24"/>
    </row>
    <row r="103" spans="3:5" x14ac:dyDescent="0.25">
      <c r="C103" s="23"/>
      <c r="D103" s="24"/>
      <c r="E103" s="24"/>
    </row>
    <row r="104" spans="3:5" x14ac:dyDescent="0.25">
      <c r="C104" s="23"/>
      <c r="D104" s="24"/>
      <c r="E104" s="24"/>
    </row>
    <row r="105" spans="3:5" x14ac:dyDescent="0.25">
      <c r="C105" s="23"/>
      <c r="D105" s="24"/>
      <c r="E105" s="24"/>
    </row>
    <row r="106" spans="3:5" x14ac:dyDescent="0.25">
      <c r="C106" s="23"/>
      <c r="D106" s="24"/>
      <c r="E106" s="24"/>
    </row>
    <row r="107" spans="3:5" x14ac:dyDescent="0.25">
      <c r="C107" s="23"/>
      <c r="D107" s="24"/>
      <c r="E107" s="24"/>
    </row>
    <row r="108" spans="3:5" x14ac:dyDescent="0.25">
      <c r="C108" s="23"/>
      <c r="D108" s="24"/>
      <c r="E108" s="24"/>
    </row>
    <row r="109" spans="3:5" x14ac:dyDescent="0.25">
      <c r="C109" s="23"/>
      <c r="D109" s="24"/>
      <c r="E109" s="24"/>
    </row>
    <row r="110" spans="3:5" x14ac:dyDescent="0.25">
      <c r="C110" s="23"/>
      <c r="D110" s="24"/>
      <c r="E110" s="24"/>
    </row>
    <row r="111" spans="3:5" x14ac:dyDescent="0.25">
      <c r="C111" s="23"/>
      <c r="D111" s="24"/>
      <c r="E111" s="24"/>
    </row>
    <row r="112" spans="3:5" x14ac:dyDescent="0.25">
      <c r="C112" s="23"/>
      <c r="D112" s="24"/>
      <c r="E112" s="24"/>
    </row>
    <row r="113" spans="3:5" x14ac:dyDescent="0.25">
      <c r="C113" s="23"/>
      <c r="D113" s="24"/>
      <c r="E113" s="24"/>
    </row>
    <row r="114" spans="3:5" x14ac:dyDescent="0.25">
      <c r="C114" s="23"/>
      <c r="D114" s="24"/>
      <c r="E114" s="24"/>
    </row>
    <row r="115" spans="3:5" x14ac:dyDescent="0.25">
      <c r="C115" s="23"/>
      <c r="D115" s="24"/>
      <c r="E115" s="24"/>
    </row>
    <row r="116" spans="3:5" x14ac:dyDescent="0.25">
      <c r="C116" s="23"/>
      <c r="D116" s="24"/>
      <c r="E116" s="24"/>
    </row>
    <row r="117" spans="3:5" x14ac:dyDescent="0.25">
      <c r="C117" s="23"/>
      <c r="D117" s="24"/>
      <c r="E117" s="24"/>
    </row>
    <row r="118" spans="3:5" x14ac:dyDescent="0.25">
      <c r="C118" s="23"/>
      <c r="D118" s="24"/>
      <c r="E118" s="24"/>
    </row>
    <row r="119" spans="3:5" x14ac:dyDescent="0.25">
      <c r="C119" s="23"/>
      <c r="D119" s="24"/>
      <c r="E119" s="24"/>
    </row>
    <row r="120" spans="3:5" x14ac:dyDescent="0.25">
      <c r="C120" s="23"/>
      <c r="D120" s="24"/>
      <c r="E120" s="24"/>
    </row>
    <row r="121" spans="3:5" x14ac:dyDescent="0.25">
      <c r="C121" s="23"/>
      <c r="D121" s="24"/>
      <c r="E121" s="24"/>
    </row>
    <row r="122" spans="3:5" x14ac:dyDescent="0.25">
      <c r="C122" s="23"/>
      <c r="D122" s="24"/>
      <c r="E122" s="24"/>
    </row>
    <row r="123" spans="3:5" x14ac:dyDescent="0.25">
      <c r="C123" s="23"/>
      <c r="D123" s="24"/>
      <c r="E123" s="24"/>
    </row>
    <row r="124" spans="3:5" x14ac:dyDescent="0.25">
      <c r="C124" s="23"/>
      <c r="D124" s="24"/>
      <c r="E124" s="24"/>
    </row>
    <row r="125" spans="3:5" x14ac:dyDescent="0.25">
      <c r="C125" s="23"/>
      <c r="D125" s="24"/>
      <c r="E125" s="24"/>
    </row>
    <row r="126" spans="3:5" x14ac:dyDescent="0.25">
      <c r="C126" s="23"/>
      <c r="D126" s="24"/>
      <c r="E126" s="24"/>
    </row>
    <row r="127" spans="3:5" x14ac:dyDescent="0.25">
      <c r="C127" s="23"/>
      <c r="D127" s="24"/>
      <c r="E127" s="24"/>
    </row>
    <row r="128" spans="3:5" x14ac:dyDescent="0.25">
      <c r="C128" s="23"/>
      <c r="D128" s="24"/>
      <c r="E128" s="24"/>
    </row>
    <row r="129" spans="3:5" x14ac:dyDescent="0.25">
      <c r="C129" s="23"/>
      <c r="D129" s="24"/>
      <c r="E129" s="24"/>
    </row>
    <row r="130" spans="3:5" x14ac:dyDescent="0.25">
      <c r="C130" s="23"/>
      <c r="D130" s="24"/>
      <c r="E130" s="24"/>
    </row>
    <row r="131" spans="3:5" x14ac:dyDescent="0.25">
      <c r="C131" s="23"/>
      <c r="D131" s="24"/>
      <c r="E131" s="24"/>
    </row>
    <row r="132" spans="3:5" x14ac:dyDescent="0.25">
      <c r="C132" s="23"/>
      <c r="D132" s="24"/>
      <c r="E132" s="24"/>
    </row>
    <row r="133" spans="3:5" x14ac:dyDescent="0.25">
      <c r="C133" s="23"/>
      <c r="D133" s="24"/>
      <c r="E133" s="24"/>
    </row>
    <row r="134" spans="3:5" x14ac:dyDescent="0.25">
      <c r="C134" s="23"/>
      <c r="D134" s="24"/>
      <c r="E134" s="24"/>
    </row>
    <row r="135" spans="3:5" x14ac:dyDescent="0.25">
      <c r="C135" s="23"/>
      <c r="D135" s="24"/>
      <c r="E135" s="24"/>
    </row>
    <row r="136" spans="3:5" x14ac:dyDescent="0.25">
      <c r="C136" s="23"/>
      <c r="D136" s="24"/>
      <c r="E136" s="24"/>
    </row>
    <row r="137" spans="3:5" x14ac:dyDescent="0.25">
      <c r="C137" s="23"/>
      <c r="D137" s="24"/>
      <c r="E137" s="24"/>
    </row>
    <row r="138" spans="3:5" x14ac:dyDescent="0.25">
      <c r="C138" s="23"/>
      <c r="D138" s="24"/>
      <c r="E138" s="24"/>
    </row>
    <row r="139" spans="3:5" x14ac:dyDescent="0.25">
      <c r="C139" s="23"/>
      <c r="D139" s="24"/>
      <c r="E139" s="24"/>
    </row>
    <row r="140" spans="3:5" x14ac:dyDescent="0.25">
      <c r="C140" s="23"/>
      <c r="D140" s="24"/>
      <c r="E140" s="24"/>
    </row>
    <row r="141" spans="3:5" x14ac:dyDescent="0.25">
      <c r="C141" s="23"/>
      <c r="D141" s="24"/>
      <c r="E141" s="24"/>
    </row>
    <row r="142" spans="3:5" x14ac:dyDescent="0.25">
      <c r="C142" s="23"/>
      <c r="D142" s="24"/>
      <c r="E142" s="24"/>
    </row>
    <row r="143" spans="3:5" x14ac:dyDescent="0.25">
      <c r="C143" s="23"/>
      <c r="D143" s="24"/>
      <c r="E143" s="24"/>
    </row>
    <row r="144" spans="3:5" x14ac:dyDescent="0.25">
      <c r="C144" s="23"/>
      <c r="D144" s="24"/>
      <c r="E144" s="24"/>
    </row>
    <row r="145" spans="3:5" x14ac:dyDescent="0.25">
      <c r="C145" s="23"/>
      <c r="D145" s="24"/>
      <c r="E145" s="24"/>
    </row>
    <row r="146" spans="3:5" x14ac:dyDescent="0.25">
      <c r="C146" s="23"/>
      <c r="D146" s="24"/>
      <c r="E146" s="24"/>
    </row>
    <row r="147" spans="3:5" x14ac:dyDescent="0.25">
      <c r="C147" s="23"/>
      <c r="D147" s="24"/>
      <c r="E147" s="24"/>
    </row>
    <row r="148" spans="3:5" x14ac:dyDescent="0.25">
      <c r="C148" s="23"/>
      <c r="D148" s="24"/>
      <c r="E148" s="24"/>
    </row>
    <row r="149" spans="3:5" x14ac:dyDescent="0.25">
      <c r="C149" s="23"/>
      <c r="D149" s="24"/>
      <c r="E149" s="24"/>
    </row>
    <row r="150" spans="3:5" x14ac:dyDescent="0.25">
      <c r="C150" s="23"/>
      <c r="D150" s="24"/>
      <c r="E150" s="24"/>
    </row>
    <row r="151" spans="3:5" x14ac:dyDescent="0.25">
      <c r="C151" s="23"/>
      <c r="D151" s="24"/>
      <c r="E151" s="24"/>
    </row>
    <row r="152" spans="3:5" x14ac:dyDescent="0.25">
      <c r="C152" s="23"/>
      <c r="D152" s="24"/>
      <c r="E152" s="24"/>
    </row>
    <row r="153" spans="3:5" x14ac:dyDescent="0.25">
      <c r="C153" s="23"/>
      <c r="D153" s="24"/>
      <c r="E153" s="24"/>
    </row>
    <row r="154" spans="3:5" x14ac:dyDescent="0.25">
      <c r="C154" s="23"/>
      <c r="D154" s="24"/>
      <c r="E154" s="24"/>
    </row>
    <row r="155" spans="3:5" x14ac:dyDescent="0.25">
      <c r="C155" s="23"/>
      <c r="D155" s="24"/>
      <c r="E155" s="24"/>
    </row>
    <row r="156" spans="3:5" x14ac:dyDescent="0.25">
      <c r="C156" s="23"/>
      <c r="D156" s="24"/>
      <c r="E156" s="24"/>
    </row>
    <row r="157" spans="3:5" x14ac:dyDescent="0.25">
      <c r="C157" s="23"/>
      <c r="D157" s="24"/>
      <c r="E157" s="24"/>
    </row>
    <row r="158" spans="3:5" x14ac:dyDescent="0.25">
      <c r="C158" s="23"/>
      <c r="D158" s="24"/>
      <c r="E158" s="24"/>
    </row>
    <row r="159" spans="3:5" x14ac:dyDescent="0.25">
      <c r="C159" s="23"/>
      <c r="D159" s="24"/>
      <c r="E159" s="24"/>
    </row>
    <row r="160" spans="3:5" x14ac:dyDescent="0.25">
      <c r="C160" s="23"/>
      <c r="D160" s="24"/>
      <c r="E160" s="24"/>
    </row>
    <row r="161" spans="3:5" x14ac:dyDescent="0.25">
      <c r="C161" s="23"/>
      <c r="D161" s="24"/>
      <c r="E161" s="24"/>
    </row>
    <row r="162" spans="3:5" x14ac:dyDescent="0.25">
      <c r="C162" s="23"/>
      <c r="D162" s="24"/>
      <c r="E162" s="24"/>
    </row>
    <row r="163" spans="3:5" x14ac:dyDescent="0.25">
      <c r="C163" s="23"/>
      <c r="D163" s="24"/>
      <c r="E163" s="24"/>
    </row>
    <row r="164" spans="3:5" x14ac:dyDescent="0.25">
      <c r="C164" s="23"/>
      <c r="D164" s="24"/>
      <c r="E164" s="24"/>
    </row>
    <row r="165" spans="3:5" x14ac:dyDescent="0.25">
      <c r="C165" s="23"/>
      <c r="D165" s="24"/>
      <c r="E165" s="24"/>
    </row>
    <row r="166" spans="3:5" x14ac:dyDescent="0.25">
      <c r="C166" s="23"/>
      <c r="D166" s="24"/>
      <c r="E166" s="24"/>
    </row>
    <row r="167" spans="3:5" x14ac:dyDescent="0.25">
      <c r="C167" s="23"/>
      <c r="D167" s="24"/>
      <c r="E167" s="24"/>
    </row>
    <row r="168" spans="3:5" x14ac:dyDescent="0.25">
      <c r="C168" s="23"/>
      <c r="D168" s="24"/>
      <c r="E168" s="24"/>
    </row>
    <row r="169" spans="3:5" x14ac:dyDescent="0.25">
      <c r="C169" s="23"/>
      <c r="D169" s="24"/>
      <c r="E169" s="24"/>
    </row>
    <row r="170" spans="3:5" x14ac:dyDescent="0.25">
      <c r="C170" s="23"/>
      <c r="D170" s="24"/>
      <c r="E170" s="24"/>
    </row>
    <row r="171" spans="3:5" x14ac:dyDescent="0.25">
      <c r="C171" s="23"/>
      <c r="D171" s="24"/>
      <c r="E171" s="24"/>
    </row>
    <row r="172" spans="3:5" x14ac:dyDescent="0.25">
      <c r="C172" s="23"/>
      <c r="D172" s="24"/>
      <c r="E172" s="24"/>
    </row>
    <row r="173" spans="3:5" x14ac:dyDescent="0.25">
      <c r="C173" s="23"/>
      <c r="D173" s="24"/>
      <c r="E173" s="24"/>
    </row>
    <row r="174" spans="3:5" x14ac:dyDescent="0.25">
      <c r="C174" s="23"/>
      <c r="D174" s="24"/>
      <c r="E174" s="24"/>
    </row>
    <row r="175" spans="3:5" x14ac:dyDescent="0.25">
      <c r="C175" s="23"/>
      <c r="D175" s="24"/>
      <c r="E175" s="24"/>
    </row>
    <row r="176" spans="3:5" x14ac:dyDescent="0.25">
      <c r="C176" s="23"/>
      <c r="D176" s="24"/>
      <c r="E176" s="24"/>
    </row>
    <row r="177" spans="3:5" x14ac:dyDescent="0.25">
      <c r="C177" s="23"/>
      <c r="D177" s="24"/>
      <c r="E177" s="24"/>
    </row>
    <row r="178" spans="3:5" x14ac:dyDescent="0.25">
      <c r="C178" s="23"/>
      <c r="D178" s="24"/>
      <c r="E178" s="24"/>
    </row>
    <row r="179" spans="3:5" x14ac:dyDescent="0.25">
      <c r="C179" s="23"/>
      <c r="D179" s="24"/>
      <c r="E179" s="24"/>
    </row>
    <row r="180" spans="3:5" x14ac:dyDescent="0.25">
      <c r="C180" s="23"/>
      <c r="D180" s="24"/>
      <c r="E180" s="24"/>
    </row>
    <row r="181" spans="3:5" x14ac:dyDescent="0.25">
      <c r="C181" s="23"/>
      <c r="D181" s="24"/>
      <c r="E181" s="24"/>
    </row>
    <row r="182" spans="3:5" x14ac:dyDescent="0.25">
      <c r="C182" s="23"/>
      <c r="D182" s="24"/>
      <c r="E182" s="24"/>
    </row>
    <row r="183" spans="3:5" x14ac:dyDescent="0.25">
      <c r="C183" s="23"/>
      <c r="D183" s="24"/>
      <c r="E183" s="24"/>
    </row>
    <row r="184" spans="3:5" x14ac:dyDescent="0.25">
      <c r="C184" s="23"/>
      <c r="D184" s="24"/>
      <c r="E184" s="24"/>
    </row>
    <row r="185" spans="3:5" x14ac:dyDescent="0.25">
      <c r="C185" s="23"/>
      <c r="D185" s="24"/>
      <c r="E185" s="24"/>
    </row>
    <row r="186" spans="3:5" x14ac:dyDescent="0.25">
      <c r="C186" s="23"/>
      <c r="D186" s="24"/>
      <c r="E186" s="24"/>
    </row>
    <row r="187" spans="3:5" x14ac:dyDescent="0.25">
      <c r="C187" s="23"/>
      <c r="D187" s="24"/>
      <c r="E187" s="24"/>
    </row>
    <row r="188" spans="3:5" x14ac:dyDescent="0.25">
      <c r="C188" s="23"/>
      <c r="D188" s="24"/>
      <c r="E188" s="24"/>
    </row>
    <row r="189" spans="3:5" x14ac:dyDescent="0.25">
      <c r="C189" s="23"/>
      <c r="D189" s="24"/>
      <c r="E189" s="24"/>
    </row>
    <row r="190" spans="3:5" x14ac:dyDescent="0.25">
      <c r="C190" s="23"/>
      <c r="D190" s="24"/>
      <c r="E190" s="24"/>
    </row>
    <row r="191" spans="3:5" x14ac:dyDescent="0.25">
      <c r="C191" s="23"/>
      <c r="D191" s="24"/>
      <c r="E191" s="24"/>
    </row>
    <row r="192" spans="3:5" x14ac:dyDescent="0.25">
      <c r="C192" s="23"/>
      <c r="D192" s="24"/>
      <c r="E192" s="24"/>
    </row>
    <row r="193" spans="3:5" x14ac:dyDescent="0.25">
      <c r="C193" s="23"/>
      <c r="D193" s="24"/>
      <c r="E193" s="24"/>
    </row>
    <row r="194" spans="3:5" x14ac:dyDescent="0.25">
      <c r="C194" s="23"/>
      <c r="D194" s="24"/>
      <c r="E194" s="24"/>
    </row>
    <row r="195" spans="3:5" x14ac:dyDescent="0.25">
      <c r="C195" s="23"/>
      <c r="D195" s="24"/>
      <c r="E195" s="24"/>
    </row>
    <row r="196" spans="3:5" x14ac:dyDescent="0.25">
      <c r="C196" s="23"/>
      <c r="D196" s="24"/>
      <c r="E196" s="24"/>
    </row>
    <row r="197" spans="3:5" x14ac:dyDescent="0.25">
      <c r="C197" s="23"/>
      <c r="D197" s="24"/>
      <c r="E197" s="24"/>
    </row>
    <row r="198" spans="3:5" x14ac:dyDescent="0.25">
      <c r="C198" s="23"/>
      <c r="D198" s="24"/>
      <c r="E198" s="24"/>
    </row>
    <row r="199" spans="3:5" x14ac:dyDescent="0.25">
      <c r="C199" s="23"/>
      <c r="D199" s="24"/>
      <c r="E199" s="24"/>
    </row>
    <row r="200" spans="3:5" x14ac:dyDescent="0.25">
      <c r="C200" s="23"/>
      <c r="D200" s="24"/>
      <c r="E200" s="24"/>
    </row>
  </sheetData>
  <mergeCells count="1"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036B3-F7FE-45BE-A5E2-819277053D19}">
  <dimension ref="A1:J12"/>
  <sheetViews>
    <sheetView showGridLines="0" workbookViewId="0">
      <selection sqref="A1:J1"/>
    </sheetView>
  </sheetViews>
  <sheetFormatPr baseColWidth="10" defaultRowHeight="15" x14ac:dyDescent="0.25"/>
  <cols>
    <col min="1" max="10" width="18.7109375" customWidth="1"/>
  </cols>
  <sheetData>
    <row r="1" spans="1:10" ht="27.95" customHeight="1" x14ac:dyDescent="0.4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</row>
    <row r="3" spans="1:10" x14ac:dyDescent="0.25">
      <c r="A3" s="2" t="s">
        <v>90</v>
      </c>
      <c r="B3" s="2"/>
      <c r="C3" s="2"/>
      <c r="D3" s="2"/>
      <c r="E3" s="2"/>
      <c r="G3" s="2" t="s">
        <v>91</v>
      </c>
      <c r="H3" s="2"/>
      <c r="I3" s="2"/>
      <c r="J3" s="2"/>
    </row>
    <row r="4" spans="1:10" x14ac:dyDescent="0.25">
      <c r="A4" t="e" cm="1" vm="1">
        <f t="array" aca="1" ref="A4" ca="1">_xll.QS.CASHFLOWS(Pricing!B7,Pricing!B6)</f>
        <v>#VALUE!</v>
      </c>
      <c r="G4" t="str" cm="1">
        <f t="array" aca="1" ref="G4:H12" ca="1">_xll.QS.SENSITIVITIES(Pricing!B7,Pricing!B6)</f>
        <v>Risk factor</v>
      </c>
      <c r="H4" t="str">
        <f ca="1"/>
        <v>Sensitivity</v>
      </c>
    </row>
    <row r="5" spans="1:10" x14ac:dyDescent="0.25">
      <c r="G5" t="str">
        <f ca="1"/>
        <v>FixedRateDeposit_USD_SOFR_1D</v>
      </c>
      <c r="H5">
        <f ca="1"/>
        <v>-9.6706773686558449</v>
      </c>
    </row>
    <row r="6" spans="1:10" x14ac:dyDescent="0.25">
      <c r="G6" t="str">
        <f ca="1"/>
        <v>OIS_USD_SOFR_1Y</v>
      </c>
      <c r="H6">
        <f ca="1"/>
        <v>-14083.784762765514</v>
      </c>
    </row>
    <row r="7" spans="1:10" x14ac:dyDescent="0.25">
      <c r="G7" t="str">
        <f ca="1"/>
        <v>OIS_USD_SOFR_2Y</v>
      </c>
      <c r="H7">
        <f ca="1"/>
        <v>-28946.419673012919</v>
      </c>
    </row>
    <row r="8" spans="1:10" x14ac:dyDescent="0.25">
      <c r="G8" t="str">
        <f ca="1"/>
        <v>OIS_USD_SOFR_3Y</v>
      </c>
      <c r="H8">
        <f ca="1"/>
        <v>-67424.605520356912</v>
      </c>
    </row>
    <row r="9" spans="1:10" x14ac:dyDescent="0.25">
      <c r="G9" t="str">
        <f ca="1"/>
        <v>OIS_USD_SOFR_5Y</v>
      </c>
      <c r="H9">
        <f ca="1"/>
        <v>-45286112.770814955</v>
      </c>
    </row>
    <row r="10" spans="1:10" x14ac:dyDescent="0.25">
      <c r="G10" t="str">
        <f ca="1"/>
        <v>OIS_USD_SOFR_7Y</v>
      </c>
      <c r="H10">
        <f ca="1"/>
        <v>0</v>
      </c>
    </row>
    <row r="11" spans="1:10" x14ac:dyDescent="0.25">
      <c r="G11" t="str">
        <f ca="1"/>
        <v>OIS_USD_SOFR_10Y</v>
      </c>
      <c r="H11">
        <f ca="1"/>
        <v>0</v>
      </c>
    </row>
    <row r="12" spans="1:10" x14ac:dyDescent="0.25">
      <c r="G12" t="str">
        <f ca="1"/>
        <v>OIS_USD_SOFR_30Y</v>
      </c>
      <c r="H12">
        <f ca="1"/>
        <v>0</v>
      </c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6CC26-6CE0-4618-BE39-3D679F235676}">
  <dimension ref="A1:H22"/>
  <sheetViews>
    <sheetView showGridLines="0" workbookViewId="0">
      <selection sqref="A1:H1"/>
    </sheetView>
  </sheetViews>
  <sheetFormatPr baseColWidth="10" defaultRowHeight="15" x14ac:dyDescent="0.25"/>
  <cols>
    <col min="1" max="1" width="25.7109375" style="4" customWidth="1"/>
    <col min="2" max="2" width="76.7109375" style="4" customWidth="1"/>
    <col min="3" max="3" width="11.42578125" style="4"/>
    <col min="4" max="4" width="25.7109375" style="4" customWidth="1"/>
    <col min="5" max="5" width="76.7109375" style="4" customWidth="1"/>
    <col min="6" max="6" width="11.42578125" style="4"/>
    <col min="7" max="7" width="25.7109375" style="4" customWidth="1"/>
    <col min="8" max="8" width="76.7109375" style="4" customWidth="1"/>
  </cols>
  <sheetData>
    <row r="1" spans="1:8" ht="27.95" customHeight="1" x14ac:dyDescent="0.4">
      <c r="A1" s="3" t="s">
        <v>92</v>
      </c>
      <c r="B1" s="3"/>
      <c r="C1" s="3"/>
      <c r="D1" s="3"/>
      <c r="E1" s="3"/>
      <c r="F1" s="3"/>
      <c r="G1" s="3"/>
      <c r="H1" s="3"/>
    </row>
    <row r="3" spans="1:8" x14ac:dyDescent="0.25">
      <c r="A3" s="5" t="s">
        <v>93</v>
      </c>
      <c r="B3" s="5"/>
      <c r="D3" s="5" t="s">
        <v>94</v>
      </c>
      <c r="E3" s="5"/>
      <c r="G3" s="5" t="s">
        <v>95</v>
      </c>
      <c r="H3" s="5"/>
    </row>
    <row r="4" spans="1:8" x14ac:dyDescent="0.25">
      <c r="A4" s="4" t="str" cm="1">
        <f t="array" ref="A4:B13">_xll.QS.HELP("QS.CURVE.CONFIGS.ADD")</f>
        <v>Function</v>
      </c>
      <c r="B4" s="4" t="str">
        <v>QS.CURVE.CONFIGS.ADD</v>
      </c>
      <c r="D4" s="4" t="str" cm="1">
        <f t="array" ref="D4:E22">_xll.QS.HELP("QS.TRADE.SWAP")</f>
        <v>Function</v>
      </c>
      <c r="E4" s="4" t="str">
        <v>QS.TRADE.SWAP</v>
      </c>
      <c r="G4" s="4" t="str" cm="1">
        <f t="array" ref="G4:H10">_xll.QS.HELP("QS.CURVE.TABLE")</f>
        <v>Function</v>
      </c>
      <c r="H4" s="4" t="str">
        <v>QS.CURVE.TABLE</v>
      </c>
    </row>
    <row r="5" spans="1:8" x14ac:dyDescent="0.25">
      <c r="A5" s="4" t="str">
        <v>Category</v>
      </c>
      <c r="B5" s="4" t="str">
        <v>QuantSupport - Configuration</v>
      </c>
      <c r="D5" s="4" t="str">
        <v>Category</v>
      </c>
      <c r="E5" s="4" t="str">
        <v>QuantSupport - Trades</v>
      </c>
      <c r="G5" s="4" t="str">
        <v>Category</v>
      </c>
      <c r="H5" s="4" t="str">
        <v>QuantSupport - Curves</v>
      </c>
    </row>
    <row r="6" spans="1:8" ht="30" x14ac:dyDescent="0.25">
      <c r="A6" s="4" t="str">
        <v>Description</v>
      </c>
      <c r="B6" s="4" t="str">
        <v>Adds or replaces a bootstrapped curve from an Excel range; unchanged inputs reuse the current handle</v>
      </c>
      <c r="D6" s="4" t="str">
        <v>Description</v>
      </c>
      <c r="E6" s="4" t="str">
        <v>Creates a vanilla fixed-versus-floating interest-rate swap trade</v>
      </c>
      <c r="G6" s="4" t="str">
        <v>Description</v>
      </c>
      <c r="H6" s="4" t="str">
        <v>Spills a curve's pillar dates, discount factors, zero rates, and forwards; rate convention defaults to Simple/Annual</v>
      </c>
    </row>
    <row r="7" spans="1:8" x14ac:dyDescent="0.25">
      <c r="A7" s="4" t="str">
        <v>Parameter</v>
      </c>
      <c r="B7" s="4" t="str">
        <v>Guidance</v>
      </c>
      <c r="D7" s="4" t="str">
        <v>Parameter</v>
      </c>
      <c r="E7" s="4" t="str">
        <v>Guidance</v>
      </c>
      <c r="G7" s="4" t="str">
        <v>Parameter</v>
      </c>
      <c r="H7" s="4" t="str">
        <v>Guidance</v>
      </c>
    </row>
    <row r="8" spans="1:8" ht="30" x14ac:dyDescent="0.25">
      <c r="A8" s="4" t="str">
        <v>configurations</v>
      </c>
      <c r="B8" s="4" t="str">
        <v>Current handle returned by QS.CURVE.CONFIGS.CREATE or a previous QS.CURVE.CONFIGS.ADD</v>
      </c>
      <c r="D8" s="4" t="str">
        <v>name</v>
      </c>
      <c r="E8" s="4" t="str">
        <v>Workbook-unique object name; unchanged recalculation reuses its current handle</v>
      </c>
      <c r="G8" s="4" t="str">
        <v>curve</v>
      </c>
      <c r="H8" s="4" t="str">
        <v>Discount-curve handle returned by QS.CURVE.GET or QS.CURVE.FLAT</v>
      </c>
    </row>
    <row r="9" spans="1:8" x14ac:dyDescent="0.25">
      <c r="A9" s="4" t="str">
        <v>market_index</v>
      </c>
      <c r="B9" s="4" t="str">
        <v>Market index, for example SOFR; prefixes include Equity:, Credit:, FX:, and Collateral:</v>
      </c>
      <c r="D9" s="4" t="str">
        <v>trade_date</v>
      </c>
      <c r="E9" s="4" t="str">
        <v>ISO date text in YYYY-MM-DD format</v>
      </c>
      <c r="G9" s="4" t="str">
        <v>compounding</v>
      </c>
      <c r="H9" s="4" t="str">
        <v>Compounding convention, for example Simple, Compounded, or Continuous</v>
      </c>
    </row>
    <row r="10" spans="1:8" x14ac:dyDescent="0.25">
      <c r="A10" s="4" t="str">
        <v>day_counter</v>
      </c>
      <c r="B10" s="4" t="str">
        <v>Day-count convention, for example Actual360, Actual365, or Thirty360</v>
      </c>
      <c r="D10" s="4" t="str">
        <v>start_date</v>
      </c>
      <c r="E10" s="4" t="str">
        <v>ISO date text in YYYY-MM-DD format</v>
      </c>
      <c r="G10" s="4" t="str">
        <v>frequency</v>
      </c>
      <c r="H10" s="4" t="str">
        <v>Frequency such as Annual, Semiannual, Quarterly, Monthly, or NoFrequency</v>
      </c>
    </row>
    <row r="11" spans="1:8" x14ac:dyDescent="0.25">
      <c r="A11" s="4" t="str">
        <v>interpolator</v>
      </c>
      <c r="B11" s="4" t="str">
        <v>Curve interpolation: Linear, LogLinear, or CubicSpline</v>
      </c>
      <c r="D11" s="4" t="str">
        <v>maturity_date</v>
      </c>
      <c r="E11" s="4" t="str">
        <v>ISO date text in YYYY-MM-DD format</v>
      </c>
    </row>
    <row r="12" spans="1:8" x14ac:dyDescent="0.25">
      <c r="A12" s="4" t="str">
        <v>enable_extrapolation</v>
      </c>
      <c r="B12" s="4" t="str">
        <v>TRUE to allow dates beyond the final curve pillar; otherwise FALSE</v>
      </c>
      <c r="D12" s="4" t="str">
        <v>currency</v>
      </c>
      <c r="E12" s="4" t="str">
        <v>Three-letter ISO currency code, for example USD or EUR</v>
      </c>
    </row>
    <row r="13" spans="1:8" x14ac:dyDescent="0.25">
      <c r="A13" s="4" t="str">
        <v>quote_identifiers</v>
      </c>
      <c r="B13" s="4" t="str">
        <v>One-column Excel range of quote identifiers to use as this curve's bootstrap pillars</v>
      </c>
      <c r="D13" s="4" t="str">
        <v>market_index</v>
      </c>
      <c r="E13" s="4" t="str">
        <v>Market index, for example SOFR; prefixes include Equity:, Credit:, FX:, and Collateral:</v>
      </c>
    </row>
    <row r="14" spans="1:8" x14ac:dyDescent="0.25">
      <c r="D14" s="4" t="str">
        <v>notional</v>
      </c>
      <c r="E14" s="4" t="str">
        <v>Trade notional in currency units</v>
      </c>
    </row>
    <row r="15" spans="1:8" x14ac:dyDescent="0.25">
      <c r="D15" s="4" t="str">
        <v>fixed_rate</v>
      </c>
      <c r="E15" s="4" t="str">
        <v>Rate as a decimal, for example 0.03 for 3%</v>
      </c>
    </row>
    <row r="16" spans="1:8" x14ac:dyDescent="0.25">
      <c r="D16" s="4" t="str">
        <v>spread</v>
      </c>
      <c r="E16" s="4" t="str">
        <v>Spread as a decimal, for example 0.001 for 10 basis points</v>
      </c>
    </row>
    <row r="17" spans="4:5" x14ac:dyDescent="0.25">
      <c r="D17" s="4" t="str">
        <v>side</v>
      </c>
      <c r="E17" s="4" t="str">
        <v>Receive/Buy for long-receive, or Pay/Sell for pay-short</v>
      </c>
    </row>
    <row r="18" spans="4:5" x14ac:dyDescent="0.25">
      <c r="D18" s="4" t="str">
        <v>day_counter</v>
      </c>
      <c r="E18" s="4" t="str">
        <v>Day-count convention, for example Actual360, Actual365, or Thirty360</v>
      </c>
    </row>
    <row r="19" spans="4:5" x14ac:dyDescent="0.25">
      <c r="D19" s="4" t="str">
        <v>compounding</v>
      </c>
      <c r="E19" s="4" t="str">
        <v>Compounding convention, for example Simple, Compounded, or Continuous</v>
      </c>
    </row>
    <row r="20" spans="4:5" x14ac:dyDescent="0.25">
      <c r="D20" s="4" t="str">
        <v>rate_frequency</v>
      </c>
      <c r="E20" s="4" t="str">
        <v>Frequency such as Annual, Semiannual, Quarterly, Monthly, or NoFrequency</v>
      </c>
    </row>
    <row r="21" spans="4:5" x14ac:dyDescent="0.25">
      <c r="D21" s="4" t="str">
        <v>fixed_leg_frequency</v>
      </c>
      <c r="E21" s="4" t="str">
        <v>Frequency such as Annual, Semiannual, Quarterly, Monthly, or NoFrequency</v>
      </c>
    </row>
    <row r="22" spans="4:5" x14ac:dyDescent="0.25">
      <c r="D22" s="4" t="str">
        <v>floating_leg_frequency</v>
      </c>
      <c r="E22" s="4" t="str">
        <v>Frequency such as Annual, Semiannual, Quarterly, Monthly, or NoFrequency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README</vt:lpstr>
      <vt:lpstr>Curve Setup</vt:lpstr>
      <vt:lpstr>Trade Inputs</vt:lpstr>
      <vt:lpstr>Pricing</vt:lpstr>
      <vt:lpstr>Curve Results</vt:lpstr>
      <vt:lpstr>Outputs</vt:lpstr>
      <vt:lpstr>Function 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Pedro Melo</dc:creator>
  <cp:lastModifiedBy>Jose Pedro Melo</cp:lastModifiedBy>
  <dcterms:created xsi:type="dcterms:W3CDTF">2026-09-27T14:58:21Z</dcterms:created>
  <dcterms:modified xsi:type="dcterms:W3CDTF">2026-09-27T14:58:22Z</dcterms:modified>
</cp:coreProperties>
</file>