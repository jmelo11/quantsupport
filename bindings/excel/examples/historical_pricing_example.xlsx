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 Pricing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<sst xmlns="http://schemas.openxmlformats.org/spreadsheetml/2006/main" count="32" uniqueCount="30">
  <si>
    <t>Market reference date</t>
  </si>
  <si>
    <t>Observation timestamp (UTC)</t>
  </si>
  <si>
    <t>Pillar</t>
  </si>
  <si>
    <t>Zero rate: first market</t>
  </si>
  <si>
    <t>Zero rate: second market</t>
  </si>
  <si>
    <t>0D</t>
  </si>
  <si>
    <t>1Y</t>
  </si>
  <si>
    <t>10Y</t>
  </si>
  <si>
    <t>Quote store (reference date)</t>
  </si>
  <si>
    <t>Curve configuration store</t>
  </si>
  <si>
    <t>Explicit zero-rate configuration</t>
  </si>
  <si>
    <t>Base market context</t>
  </si>
  <si>
    <t>Captured market snapshot</t>
  </si>
  <si>
    <t>Complete snapshot archive</t>
  </si>
  <si>
    <t>One unchanged swap trade</t>
  </si>
  <si>
    <t>Requested timestamp</t>
  </si>
  <si>
    <t>Native snapshot selector</t>
  </si>
  <si>
    <t>Selected historical context</t>
  </si>
  <si>
    <t>Actual matched timestamp</t>
  </si>
  <si>
    <t>Actual valuation date</t>
  </si>
  <si>
    <t>Swap present value</t>
  </si>
  <si>
    <t>Construction quote side</t>
  </si>
  <si>
    <t>Edit B5:C7 to reprice. Rates are decimals; cells display percentages.</t>
  </si>
  <si>
    <t>The swap starts after both valuation dates, so this example requires no historical fixings.</t>
  </si>
  <si>
    <t>Change Exact to Previous in a selector to query a timestamp absent from the archive.</t>
  </si>
  <si>
    <t>Previous preserves the matched market's valuation date; it does not roll curves to the requested date.</t>
  </si>
  <si>
    <t>2026-01-15</t>
  </si>
  <si>
    <t>2026-01-15T16:00:00Z</t>
  </si>
  <si>
    <t>2026-01-16</t>
  </si>
  <si>
    <t>2026-01-16T16:00:00Z</t>
  </si>
</sst>
</file>

<file path=xl/styles.xml><?xml version="1.0" encoding="utf-8"?>
<styleSheet xmlns="http://schemas.openxmlformats.org/spreadsheetml/2006/main">
  <numFmts count="2">
    <numFmt numFmtId="164" formatCode="0.0000%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5AA0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8.7109375" style="1" customWidth="1"/>
    <col min="2" max="3" width="55.7109375" style="1" customWidth="1"/>
  </cols>
  <sheetData>
    <row r="1" spans="1:3">
      <c r="A1" s="2" t="s">
        <v>0</v>
      </c>
      <c r="B1" s="3" t="s">
        <v>26</v>
      </c>
      <c r="C1" s="3" t="s">
        <v>28</v>
      </c>
    </row>
    <row r="2" spans="1:3">
      <c r="A2" s="1" t="s">
        <v>1</v>
      </c>
      <c r="B2" s="3" t="s">
        <v>27</v>
      </c>
      <c r="C2" s="3" t="s">
        <v>29</v>
      </c>
    </row>
    <row r="4" spans="1:3">
      <c r="A4" s="2" t="s">
        <v>2</v>
      </c>
      <c r="B4" s="2" t="s">
        <v>3</v>
      </c>
      <c r="C4" s="2" t="s">
        <v>4</v>
      </c>
    </row>
    <row r="5" spans="1:3">
      <c r="A5" s="1" t="s">
        <v>5</v>
      </c>
      <c r="B5" s="4">
        <v>0.04</v>
      </c>
      <c r="C5" s="4">
        <v>0.041</v>
      </c>
    </row>
    <row r="6" spans="1:3">
      <c r="A6" s="1" t="s">
        <v>6</v>
      </c>
      <c r="B6" s="4">
        <v>0.039</v>
      </c>
      <c r="C6" s="4">
        <v>0.04</v>
      </c>
    </row>
    <row r="7" spans="1:3">
      <c r="A7" s="1" t="s">
        <v>7</v>
      </c>
      <c r="B7" s="4">
        <v>0.038</v>
      </c>
      <c r="C7" s="4">
        <v>0.039</v>
      </c>
    </row>
    <row r="9" spans="1:3">
      <c r="A9" s="1" t="s">
        <v>8</v>
      </c>
      <c r="B9" s="1" cm="1">
        <f t="array" ref="B9">_xll.QS.QUOTES.CREATE("history_quotes_"&amp;B$1,B$1)</f>
        <v>0</v>
      </c>
      <c r="C9" s="1" cm="1">
        <f t="array" ref="C9">_xll.QS.QUOTES.CREATE("history_quotes_"&amp;C$1,C$1)</f>
        <v>0</v>
      </c>
    </row>
    <row r="10" spans="1:3">
      <c r="A10" s="1" t="s">
        <v>9</v>
      </c>
      <c r="B10" s="1" cm="1">
        <f t="array" ref="B10">_xll.QS.CURVE.CONFIGS.CREATE("history_curves_"&amp;B$1)</f>
        <v>0</v>
      </c>
      <c r="C10" s="1" cm="1">
        <f t="array" ref="C10">_xll.QS.CURVE.CONFIGS.CREATE("history_curves_"&amp;C$1)</f>
        <v>0</v>
      </c>
    </row>
    <row r="11" spans="1:3">
      <c r="A11" s="1" t="s">
        <v>10</v>
      </c>
      <c r="B11" s="1" cm="1">
        <f t="array" ref="B11">_xll.QS.CURVE.CONFIGS.ADD.ZERO(B10,"SOFR","Actual365","Linear",FALSE,$A$5:$A$7,B5:B7,"Continuous","Annual")</f>
        <v>0</v>
      </c>
      <c r="C11" s="1" cm="1">
        <f t="array" ref="C11">_xll.QS.CURVE.CONFIGS.ADD.ZERO(C10,"SOFR","Actual365","Linear",FALSE,$A$5:$A$7,C5:C7,"Continuous","Annual")</f>
        <v>0</v>
      </c>
    </row>
    <row r="12" spans="1:3">
      <c r="A12" s="1" t="s">
        <v>11</v>
      </c>
      <c r="B12" s="1" cm="1">
        <f t="array" ref="B12">_xll.QS.CONTEXT.CREATE("history_market_"&amp;B$1,B9,B11,,,,,,,,,,"USD","SOFR")</f>
        <v>0</v>
      </c>
      <c r="C12" s="1" cm="1">
        <f t="array" ref="C12">_xll.QS.CONTEXT.CREATE("history_market_"&amp;C$1,C9,C11,,,,,,,,,,"USD","SOFR")</f>
        <v>0</v>
      </c>
    </row>
    <row r="13" spans="1:3">
      <c r="A13" s="1" t="s">
        <v>12</v>
      </c>
      <c r="B13" s="1" cm="1">
        <f t="array" ref="B13">_xll.QS.SNAPSHOT.FROM.CONTEXT("history_snapshot_"&amp;B$1,B2,B12)</f>
        <v>0</v>
      </c>
      <c r="C13" s="1" cm="1">
        <f t="array" ref="C13">_xll.QS.SNAPSHOT.FROM.CONTEXT("history_snapshot_"&amp;C$1,C2,C12)</f>
        <v>0</v>
      </c>
    </row>
    <row r="15" spans="1:3">
      <c r="A15" s="1" t="s">
        <v>13</v>
      </c>
      <c r="B15" s="1" cm="1">
        <f t="array" ref="B15">_xll.QS.SNAPSHOTS.CREATE("history_archive",B13:C13)</f>
        <v>0</v>
      </c>
    </row>
    <row r="17" spans="1:3">
      <c r="A17" s="1" t="s">
        <v>14</v>
      </c>
      <c r="B17" s="1" cm="1">
        <f t="array" ref="B17">_xll.QS.TRADE.SWAP("history_swap","2026-01-15","2026-01-19","2031-01-19","USD","SOFR",1000000,0.04,0,"Receive","Actual360","Simple","Semiannual","Semiannual","Quarterly")</f>
        <v>0</v>
      </c>
    </row>
    <row r="19" spans="1:3">
      <c r="A19" s="2" t="s">
        <v>15</v>
      </c>
      <c r="B19" s="3" t="s">
        <v>27</v>
      </c>
      <c r="C19" s="3" t="s">
        <v>29</v>
      </c>
    </row>
    <row r="20" spans="1:3">
      <c r="A20" s="1" t="s">
        <v>16</v>
      </c>
      <c r="B20" s="1" cm="1">
        <f t="array" ref="B20">_xll.QS.SNAPSHOT.SELECTOR("history_selector_"&amp;B$1,B19,"Exact","Mid")</f>
        <v>0</v>
      </c>
      <c r="C20" s="1" cm="1">
        <f t="array" ref="C20">_xll.QS.SNAPSHOT.SELECTOR("history_selector_"&amp;C$1,C19,"Exact","Mid")</f>
        <v>0</v>
      </c>
    </row>
    <row r="21" spans="1:3">
      <c r="A21" s="1" t="s">
        <v>17</v>
      </c>
      <c r="B21" s="1" cm="1">
        <f t="array" ref="B21">_xll.QS.CONTEXT.FROM.SNAPSHOT("history_selected_"&amp;B$1,$B$15,B20,)</f>
        <v>0</v>
      </c>
      <c r="C21" s="1" cm="1">
        <f t="array" ref="C21">_xll.QS.CONTEXT.FROM.SNAPSHOT("history_selected_"&amp;C$1,$B$15,C20,)</f>
        <v>0</v>
      </c>
    </row>
    <row r="22" spans="1:3">
      <c r="A22" s="1" t="s">
        <v>18</v>
      </c>
      <c r="B22" s="1" cm="1">
        <f t="array" ref="B22">_xll.QS.CONTEXT.SNAPSHOT.TIMESTAMP(B21)</f>
        <v>0</v>
      </c>
      <c r="C22" s="1" cm="1">
        <f t="array" ref="C22">_xll.QS.CONTEXT.SNAPSHOT.TIMESTAMP(C21)</f>
        <v>0</v>
      </c>
    </row>
    <row r="23" spans="1:3">
      <c r="A23" s="1" t="s">
        <v>19</v>
      </c>
      <c r="B23" s="1" cm="1">
        <f t="array" ref="B23">_xll.QS.CONTEXT.EVALUATION.DATE(B21)</f>
        <v>0</v>
      </c>
      <c r="C23" s="1" cm="1">
        <f t="array" ref="C23">_xll.QS.CONTEXT.EVALUATION.DATE(C21)</f>
        <v>0</v>
      </c>
    </row>
    <row r="24" spans="1:3">
      <c r="A24" s="1" t="s">
        <v>20</v>
      </c>
      <c r="B24" s="5" cm="1">
        <f t="array" ref="B24">_xll.QS.PRICE($B$17,B21)</f>
        <v>0</v>
      </c>
      <c r="C24" s="5" cm="1">
        <f t="array" ref="C24">_xll.QS.PRICE($B$17,C21)</f>
        <v>0</v>
      </c>
    </row>
    <row r="25" spans="1:3">
      <c r="A25" s="1" t="s">
        <v>21</v>
      </c>
      <c r="B25" s="1" cm="1">
        <f t="array" ref="B25">_xll.QS.CONTEXT.QUOTE.LEVEL(B21)</f>
        <v>0</v>
      </c>
      <c r="C25" s="1" cm="1">
        <f t="array" ref="C25">_xll.QS.CONTEXT.QUOTE.LEVEL(C21)</f>
        <v>0</v>
      </c>
    </row>
    <row r="27" spans="1:3">
      <c r="A27" s="1" t="s">
        <v>22</v>
      </c>
    </row>
    <row r="28" spans="1:3">
      <c r="A28" s="1" t="s">
        <v>23</v>
      </c>
    </row>
    <row r="29" spans="1:3">
      <c r="A29" s="1" t="s">
        <v>24</v>
      </c>
    </row>
    <row r="30" spans="1:3">
      <c r="A3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QuantSupport Excel examples</dc:title>
  <dc:creator/>
  <cp:lastModifiedBy/>
  <dcterms:created xsi:type="dcterms:W3CDTF">2026-01-01T00:00:00Z</dcterms:created>
  <dcterms:modified xsi:type="dcterms:W3CDTF">2026-01-01T00:00:00Z</dcterms:modified>
</cp:coreProperties>
</file>