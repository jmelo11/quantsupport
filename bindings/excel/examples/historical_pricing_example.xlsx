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istorical Pricing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4">
    <xf xfId="0"/>
    <xf xfId="0" numFmtId="10" applyNumberFormat="1"/>
    <xf xfId="0" fontId="1" applyFont="1"/>
    <xf xfId="0" numFmtId="4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C30"/>
  <sheetViews>
    <sheetView workbookViewId="0">
      <pane xSplit="1" ySplit="4" topLeftCell="B5" activePane="bottomRight" state="frozen"/>
    </sheetView>
  </sheetViews>
  <cols>
    <col min="1" max="1" width="38" customWidth="1"/>
    <col min="2" max="3" width="55" customWidth="1"/>
  </cols>
  <sheetData>
    <row r="1">
      <c r="A1" s="2" t="inlineStr">
        <is>
          <t>Market reference date</t>
        </is>
      </c>
      <c r="B1" s="2" t="inlineStr">
        <is>
          <t>2026-01-15</t>
        </is>
      </c>
      <c r="C1" s="2" t="inlineStr">
        <is>
          <t>2026-01-16</t>
        </is>
      </c>
    </row>
    <row r="2">
      <c r="A2" s="0" t="inlineStr">
        <is>
          <t>Observation timestamp (UTC)</t>
        </is>
      </c>
      <c r="B2" s="0" t="inlineStr">
        <is>
          <t>2026-01-15T16:00:00Z</t>
        </is>
      </c>
      <c r="C2" s="0" t="inlineStr">
        <is>
          <t>2026-01-16T16:00:00Z</t>
        </is>
      </c>
    </row>
    <row r="3"/>
    <row r="4">
      <c r="A4" s="2" t="inlineStr">
        <is>
          <t>Pillar</t>
        </is>
      </c>
      <c r="B4" s="2" t="inlineStr">
        <is>
          <t>Zero rate: first market</t>
        </is>
      </c>
      <c r="C4" s="2" t="inlineStr">
        <is>
          <t>Zero rate: second market</t>
        </is>
      </c>
    </row>
    <row r="5">
      <c r="A5" s="0" t="inlineStr">
        <is>
          <t>0D</t>
        </is>
      </c>
      <c r="B5" s="1">
        <v>0.04</v>
      </c>
      <c r="C5" s="1">
        <v>0.041</v>
      </c>
    </row>
    <row r="6">
      <c r="A6" s="0" t="inlineStr">
        <is>
          <t>1Y</t>
        </is>
      </c>
      <c r="B6" s="1">
        <v>0.039</v>
      </c>
      <c r="C6" s="1">
        <v>0.04</v>
      </c>
    </row>
    <row r="7">
      <c r="A7" s="0" t="inlineStr">
        <is>
          <t>10Y</t>
        </is>
      </c>
      <c r="B7" s="1">
        <v>0.038</v>
      </c>
      <c r="C7" s="1">
        <v>0.039</v>
      </c>
    </row>
    <row r="8"/>
    <row r="9">
      <c r="A9" s="0" t="inlineStr">
        <is>
          <t>Quote store (reference date)</t>
        </is>
      </c>
      <c r="B9" s="0">
        <f>QS.QUOTES.CREATE("history_quotes_"&amp;B$1,B$1)</f>
      </c>
      <c r="C9" s="0">
        <f>QS.QUOTES.CREATE("history_quotes_"&amp;C$1,C$1)</f>
      </c>
    </row>
    <row r="10">
      <c r="A10" s="0" t="inlineStr">
        <is>
          <t>Curve configuration store</t>
        </is>
      </c>
      <c r="B10" s="0">
        <f>QS.CURVE.CONFIGS.CREATE("history_curves_"&amp;B$1)</f>
      </c>
      <c r="C10" s="0">
        <f>QS.CURVE.CONFIGS.CREATE("history_curves_"&amp;C$1)</f>
      </c>
    </row>
    <row r="11">
      <c r="A11" s="0" t="inlineStr">
        <is>
          <t>Explicit zero-rate configuration</t>
        </is>
      </c>
      <c r="B11" s="0">
        <f>QS.CURVE.CONFIGS.ADD.ZERO(B10,"SOFR","Actual365","Linear",FALSE,$A$5:$A$7,B5:B7,"Continuous","Annual")</f>
      </c>
      <c r="C11" s="0">
        <f>QS.CURVE.CONFIGS.ADD.ZERO(C10,"SOFR","Actual365","Linear",FALSE,$A$5:$A$7,C5:C7,"Continuous","Annual")</f>
      </c>
    </row>
    <row r="12">
      <c r="A12" s="0" t="inlineStr">
        <is>
          <t>Base market context</t>
        </is>
      </c>
      <c r="B12" s="0">
        <f>QS.CONTEXT.CREATE("history_market_"&amp;B$1,B9,B11,,,,,,,,,,"USD","SOFR")</f>
      </c>
      <c r="C12" s="0">
        <f>QS.CONTEXT.CREATE("history_market_"&amp;C$1,C9,C11,,,,,,,,,,"USD","SOFR")</f>
      </c>
    </row>
    <row r="13">
      <c r="A13" s="0" t="inlineStr">
        <is>
          <t>Captured market snapshot</t>
        </is>
      </c>
      <c r="B13" s="0">
        <f>QS.SNAPSHOT.FROM.CONTEXT("history_snapshot_"&amp;B$1,B2,B12)</f>
      </c>
      <c r="C13" s="0">
        <f>QS.SNAPSHOT.FROM.CONTEXT("history_snapshot_"&amp;C$1,C2,C12)</f>
      </c>
    </row>
    <row r="14"/>
    <row r="15">
      <c r="A15" s="0" t="inlineStr">
        <is>
          <t>Complete snapshot archive</t>
        </is>
      </c>
      <c r="B15" s="0">
        <f>QS.SNAPSHOTS.CREATE("history_archive",B13:C13)</f>
      </c>
    </row>
    <row r="16"/>
    <row r="17">
      <c r="A17" s="0" t="inlineStr">
        <is>
          <t>One unchanged swap trade</t>
        </is>
      </c>
      <c r="B17" s="0">
        <f>QS.TRADE.SWAP("history_swap","2026-01-15","2026-01-19","2031-01-19","USD","SOFR",1000000,0.04,0,"Receive","Actual360","Simple","Semiannual","Semiannual","Quarterly")</f>
      </c>
    </row>
    <row r="18"/>
    <row r="19">
      <c r="A19" s="2" t="inlineStr">
        <is>
          <t>Requested timestamp</t>
        </is>
      </c>
      <c r="B19" s="2" t="inlineStr">
        <is>
          <t>2026-01-15T16:00:00Z</t>
        </is>
      </c>
      <c r="C19" s="2" t="inlineStr">
        <is>
          <t>2026-01-16T16:00:00Z</t>
        </is>
      </c>
    </row>
    <row r="20">
      <c r="A20" s="0" t="inlineStr">
        <is>
          <t>Native snapshot selector</t>
        </is>
      </c>
      <c r="B20" s="0">
        <f>QS.SNAPSHOT.SELECTOR("history_selector_"&amp;B$1,B19,"Exact","Mid")</f>
      </c>
      <c r="C20" s="0">
        <f>QS.SNAPSHOT.SELECTOR("history_selector_"&amp;C$1,C19,"Exact","Mid")</f>
      </c>
    </row>
    <row r="21">
      <c r="A21" s="0" t="inlineStr">
        <is>
          <t>Selected historical context</t>
        </is>
      </c>
      <c r="B21" s="0">
        <f>QS.CONTEXT.FROM.SNAPSHOT("history_selected_"&amp;B$1,$B$15,B20,)</f>
      </c>
      <c r="C21" s="0">
        <f>QS.CONTEXT.FROM.SNAPSHOT("history_selected_"&amp;C$1,$B$15,C20,)</f>
      </c>
    </row>
    <row r="22">
      <c r="A22" s="0" t="inlineStr">
        <is>
          <t>Actual matched timestamp</t>
        </is>
      </c>
      <c r="B22" s="0">
        <f>QS.CONTEXT.SNAPSHOT.TIMESTAMP(B21)</f>
      </c>
      <c r="C22" s="0">
        <f>QS.CONTEXT.SNAPSHOT.TIMESTAMP(C21)</f>
      </c>
    </row>
    <row r="23">
      <c r="A23" s="0" t="inlineStr">
        <is>
          <t>Actual valuation date</t>
        </is>
      </c>
      <c r="B23" s="0">
        <f>QS.CONTEXT.EVALUATION.DATE(B21)</f>
      </c>
      <c r="C23" s="0">
        <f>QS.CONTEXT.EVALUATION.DATE(C21)</f>
      </c>
    </row>
    <row r="24">
      <c r="A24" s="0" t="inlineStr">
        <is>
          <t>Swap present value</t>
        </is>
      </c>
      <c r="B24" s="3">
        <f>QS.PRICE($B$17,B21)</f>
      </c>
      <c r="C24" s="3">
        <f>QS.PRICE($B$17,C21)</f>
      </c>
    </row>
    <row r="25">
      <c r="A25" s="0" t="inlineStr">
        <is>
          <t>Construction quote side</t>
        </is>
      </c>
      <c r="B25" s="0">
        <f>QS.CONTEXT.QUOTE.LEVEL(B21)</f>
      </c>
      <c r="C25" s="0">
        <f>QS.CONTEXT.QUOTE.LEVEL(C21)</f>
      </c>
    </row>
    <row r="26"/>
    <row r="27">
      <c r="A27" s="0" t="inlineStr">
        <is>
          <t>Edit B5:C7 to reprice. Rates are decimals; cells display percentages.</t>
        </is>
      </c>
    </row>
    <row r="28">
      <c r="A28" s="0" t="inlineStr">
        <is>
          <t>The swap starts after both valuation dates, so this example requires no historical fixings.</t>
        </is>
      </c>
    </row>
    <row r="29">
      <c r="A29" s="0" t="inlineStr">
        <is>
          <t>Change Exact to Previous in a selector to query a timestamp absent from the archive.</t>
        </is>
      </c>
    </row>
    <row r="30">
      <c r="A30" s="0" t="inlineStr">
        <is>
          <t>Previous preserves the matched market's valuation date; it does not roll curves to the requested date.</t>
        </is>
      </c>
    </row>
  </sheetData>
</worksheet>
</file>