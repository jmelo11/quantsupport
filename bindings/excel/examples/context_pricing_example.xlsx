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1 Inputs" sheetId="2" r:id="rId2"/>
    <sheet name="2 Contexts" sheetId="3" r:id="rId3"/>
    <sheet name="3 Contracts" sheetId="4" r:id="rId4"/>
    <sheet name="4 Results" sheetId="5" r:id="rId5"/>
  </sheets>
  <definedNames>
    <definedName name="Context_Archive">'3 Contracts'!$B$25</definedName>
    <definedName name="Context_Balloon">'1 Inputs'!$B$12</definedName>
    <definedName name="Context_Cashflows">'4 Results'!$A$13</definedName>
    <definedName name="Context_Date">'1 Inputs'!$B$7</definedName>
    <definedName name="Context_FairRate">'4 Results'!$B$8</definedName>
    <definedName name="Context_HistoryInstruments">'4 Results'!$E$7:$E$9</definedName>
    <definedName name="Context_HistoryValues">'4 Results'!$G$7</definedName>
    <definedName name="Context_Inputs">'2 Contexts'!$B$12:$B$13</definedName>
    <definedName name="Context_Loan">'3 Contracts'!$B$10</definedName>
    <definedName name="Context_Maturity">'1 Inputs'!$B$9</definedName>
    <definedName name="Context_NextDate">'1 Inputs'!$B$8</definedName>
    <definedName name="Context_NextInputs">'2 Contexts'!$B$24</definedName>
    <definedName name="Context_NextRoot">'2 Contexts'!$B$19</definedName>
    <definedName name="Context_NextSnapshot">'3 Contracts'!$B$19</definedName>
    <definedName name="Context_Notional">'1 Inputs'!$B$10</definedName>
    <definedName name="Context_Options">'3 Contracts'!$B$7</definedName>
    <definedName name="Context_Originations">'4 Results'!$F$7:$F$9</definedName>
    <definedName name="Context_Pricer">'3 Contracts'!$B$13</definedName>
    <definedName name="Context_PV">'4 Results'!$B$7</definedName>
    <definedName name="Context_QuoteIds">'1 Inputs'!$A$18:$A$30</definedName>
    <definedName name="Context_QuoteMid">'1 Inputs'!$D$17:$P$17</definedName>
    <definedName name="Context_Rate">'1 Inputs'!$B$11</definedName>
    <definedName name="Context_Risk">'4 Results'!$A$161</definedName>
    <definedName name="Context_Root">'2 Contexts'!$B$7</definedName>
    <definedName name="Context_Snapshot">'3 Contracts'!$B$16</definedName>
    <definedName name="Context_Snapshots">'3 Contracts'!$B$22:$B$23</definedName>
    <definedName name="_xlnm.Print_Area" localSheetId="0">'Start Here'!$A$1:$F$27</definedName>
    <definedName name="_xlnm.Print_Titles" localSheetId="1">'1 Inputs'!$1:$6</definedName>
    <definedName name="_xlnm.Print_Titles" localSheetId="2">'2 Contexts'!$1:$6</definedName>
    <definedName name="_xlnm.Print_Titles" localSheetId="3">'3 Contracts'!$1:$6</definedName>
    <definedName name="_xlnm.Print_Titles" localSheetId="4">'4 Results'!$1:$6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7" authorId="0">
      <text>
        <r>
          <rPr>
            <sz val="8"/>
            <color indexed="81"/>
            <rFont val="Tahoma"/>
            <family val="2"/>
          </rPr>
          <t>ISO market business date</t>
        </r>
      </text>
    </comment>
    <comment ref="B8" authorId="0">
      <text>
        <r>
          <rPr>
            <sz val="8"/>
            <color indexed="81"/>
            <rFont val="Tahoma"/>
            <family val="2"/>
          </rPr>
          <t>A second complete historical market</t>
        </r>
      </text>
    </comment>
    <comment ref="B9" authorId="0">
      <text>
        <r>
          <rPr>
            <sz val="8"/>
            <color indexed="81"/>
            <rFont val="Tahoma"/>
            <family val="2"/>
          </rPr>
          <t>Contractual final repayment date</t>
        </r>
      </text>
    </comment>
    <comment ref="B10" authorId="0">
      <text>
        <r>
          <rPr>
            <sz val="8"/>
            <color indexed="81"/>
            <rFont val="Tahoma"/>
            <family val="2"/>
          </rPr>
          <t>EUR principal</t>
        </r>
      </text>
    </comment>
    <comment ref="B11" authorId="0">
      <text>
        <r>
          <rPr>
            <sz val="8"/>
            <color indexed="81"/>
            <rFont val="Tahoma"/>
            <family val="2"/>
          </rPr>
          <t>Annual decimal coupon</t>
        </r>
      </text>
    </comment>
    <comment ref="B12" authorId="0">
      <text>
        <r>
          <rPr>
            <sz val="8"/>
            <color indexed="81"/>
            <rFont val="Tahoma"/>
            <family val="2"/>
          </rPr>
          <t>Residual fraction repaid at maturity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7" authorId="0">
      <text>
        <r>
          <rPr>
            <sz val="8"/>
            <color indexed="81"/>
            <rFont val="Tahoma"/>
            <family val="2"/>
          </rPr>
          <t>Date, currency, base index and optional quote side.</t>
        </r>
      </text>
    </comment>
    <comment ref="B19" authorId="0">
      <text>
        <r>
          <rPr>
            <sz val="8"/>
            <color indexed="81"/>
            <rFont val="Tahoma"/>
            <family val="2"/>
          </rPr>
          <t>Each market carries its own actual valuation date.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7" authorId="0">
      <text>
        <r>
          <rPr>
            <sz val="8"/>
            <color indexed="81"/>
            <rFont val="Tahoma"/>
            <family val="2"/>
          </rPr>
          <t>The second argument is balloon_fraction; remaining settings use defaults.</t>
        </r>
      </text>
    </comment>
    <comment ref="B10" authorId="0">
      <text>
        <r>
          <rPr>
            <sz val="8"/>
            <color indexed="81"/>
            <rFont val="Tahoma"/>
            <family val="2"/>
          </rPr>
          <t>Direct pricing uses Receive and the contract notional; use a trade for other position terms.</t>
        </r>
      </text>
    </comment>
    <comment ref="B13" authorId="0">
      <text>
        <r>
          <rPr>
            <sz val="8"/>
            <color indexed="81"/>
            <rFont val="Tahoma"/>
            <family val="2"/>
          </rPr>
          <t>An explicit discount curve with optional named refinancing and fair-rate settings.</t>
        </r>
      </text>
    </comment>
    <comment ref="B16" authorId="0">
      <text>
        <r>
          <rPr>
            <sz val="8"/>
            <color indexed="81"/>
            <rFont val="Tahoma"/>
            <family val="2"/>
          </rPr>
          <t>Captures market quotes and the curve definition together; fixings stay separate.</t>
        </r>
      </text>
    </comment>
    <comment ref="B19" authorId="0">
      <text>
        <r>
          <rPr>
            <sz val="8"/>
            <color indexed="81"/>
            <rFont val="Tahoma"/>
            <family val="2"/>
          </rPr>
          <t>Same independent quote arrays, next business date.</t>
        </r>
      </text>
    </comment>
    <comment ref="B25" authorId="0">
      <text>
        <r>
          <rPr>
            <sz val="8"/>
            <color indexed="81"/>
            <rFont val="Tahoma"/>
            <family val="2"/>
          </rPr>
          <t>Historical batch pricing constructs each distinct selected market once.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<sst xmlns="http://schemas.openxmlformats.org/spreadsheetml/2006/main" count="118" uniqueCount="110">
  <si>
    <t>Context-first pricing</t>
  </si>
  <si>
    <t>Create one context, add independent inputs, and request values directly.</t>
  </si>
  <si>
    <t>Before you start: load quantsupport.xll in 64-bit Windows Excel, then press Ctrl+Alt+F9. Results are blank until Excel calculates. Dates are ISO text; enter 4% as 0.04.</t>
  </si>
  <si>
    <t>Follow the numbered tabs from left to right</t>
  </si>
  <si>
    <t>1</t>
  </si>
  <si>
    <t>1 Inputs</t>
  </si>
  <si>
    <t>Edit the dated market quotes and loan contract terms.</t>
  </si>
  <si>
    <t>2</t>
  </si>
  <si>
    <t>2 Contexts</t>
  </si>
  <si>
    <t>All additions reference their root context; the input ranges are complete.</t>
  </si>
  <si>
    <t>3</t>
  </si>
  <si>
    <t>3 Contracts</t>
  </si>
  <si>
    <t>Create the loan and archive complete dated markets.</t>
  </si>
  <si>
    <t>4</t>
  </si>
  <si>
    <t>4 Results</t>
  </si>
  <si>
    <t>Read direct values, cashflows, risk and historical batch values.</t>
  </si>
  <si>
    <t>Cell colours</t>
  </si>
  <si>
    <t>Blue · edit</t>
  </si>
  <si>
    <t>Assumptions and choices you can change.</t>
  </si>
  <si>
    <t>Green · read</t>
  </si>
  <si>
    <t>Financial results calculated by the add-in.</t>
  </si>
  <si>
    <t>Grey · build</t>
  </si>
  <si>
    <t>Object references on the Build tab. Each step shows its Excel formula below.</t>
  </si>
  <si>
    <t>Try this first</t>
  </si>
  <si>
    <t>1. Change a quote and inspect PV and risk.</t>
  </si>
  <si>
    <t>2. Change the balloon fraction through named loan settings.</t>
  </si>
  <si>
    <t>3. Reorder the historical rows; output order follows the instruments and timestamps.</t>
  </si>
  <si>
    <t>Use Ctrl+A after a function name for parameter help. Inline hints use the optional Excel-DNA IntelliSense companion. The example assumptions are illustrative; tables and results use the native Rust pricers.</t>
  </si>
  <si>
    <t>Contract and position inputs</t>
  </si>
  <si>
    <t>Blue inputs feed context, curve and loan formulas directly.</t>
  </si>
  <si>
    <t>← Start Here</t>
  </si>
  <si>
    <t>Next → 2 Contexts</t>
  </si>
  <si>
    <t>Parameter</t>
  </si>
  <si>
    <t>Value</t>
  </si>
  <si>
    <t>Meaning</t>
  </si>
  <si>
    <t>Market date</t>
  </si>
  <si>
    <t>2026-02-24</t>
  </si>
  <si>
    <t>ISO market business date</t>
  </si>
  <si>
    <t>Next market date</t>
  </si>
  <si>
    <t>2026-02-25</t>
  </si>
  <si>
    <t>A second complete historical market</t>
  </si>
  <si>
    <t>Maturity</t>
  </si>
  <si>
    <t>2031-02-24</t>
  </si>
  <si>
    <t>Contractual final repayment date</t>
  </si>
  <si>
    <t>Notional</t>
  </si>
  <si>
    <t>EUR principal</t>
  </si>
  <si>
    <t>Fixed coupon</t>
  </si>
  <si>
    <t>Annual decimal coupon</t>
  </si>
  <si>
    <t>Balloon fraction</t>
  </si>
  <si>
    <t>Residual fraction repaid at maturity</t>
  </si>
  <si>
    <t>Identifier</t>
  </si>
  <si>
    <t>Mid levels: independent row array</t>
  </si>
  <si>
    <t>FixedRateDeposit_EUR_ESTR_1D</t>
  </si>
  <si>
    <t>OIS_EUR_ESTR_3M</t>
  </si>
  <si>
    <t>OIS_EUR_ESTR_6M</t>
  </si>
  <si>
    <t>OIS_EUR_ESTR_1Y</t>
  </si>
  <si>
    <t>OIS_EUR_ESTR_2Y</t>
  </si>
  <si>
    <t>OIS_EUR_ESTR_3Y</t>
  </si>
  <si>
    <t>OIS_EUR_ESTR_4Y</t>
  </si>
  <si>
    <t>OIS_EUR_ESTR_5Y</t>
  </si>
  <si>
    <t>OIS_EUR_ESTR_7Y</t>
  </si>
  <si>
    <t>OIS_EUR_ESTR_10Y</t>
  </si>
  <si>
    <t>OIS_EUR_ESTR_15Y</t>
  </si>
  <si>
    <t>OIS_EUR_ESTR_20Y</t>
  </si>
  <si>
    <t>OIS_EUR_ESTR_30Y</t>
  </si>
  <si>
    <t>Create contexts and independent inputs</t>
  </si>
  <si>
    <t>Every ADD formula points to its root. Pricing and snapshot formulas consume the complete input range.</t>
  </si>
  <si>
    <t>Next → 3 Contracts</t>
  </si>
  <si>
    <t>Step</t>
  </si>
  <si>
    <t>Reference</t>
  </si>
  <si>
    <t>Purpose</t>
  </si>
  <si>
    <t>Create root</t>
  </si>
  <si>
    <t>Date, currency, base index and optional quote side.</t>
  </si>
  <si>
    <t>Independent quote arrays</t>
  </si>
  <si>
    <t>Curve from matching quotes</t>
  </si>
  <si>
    <t>Inputs is B12:B13. Both formulas use Root; neither references the previous addition. You may instead use ADD.CURVE(root,index,identifiers,mid) in one cell.</t>
  </si>
  <si>
    <t>Second dated root</t>
  </si>
  <si>
    <t>Each market carries its own actual valuation date.</t>
  </si>
  <si>
    <t>Curve and quotes together</t>
  </si>
  <si>
    <t>Loan contract and historical market archive</t>
  </si>
  <si>
    <t>Loan settings have named arguments in IntelliSense. Snapshots include the complete context input range.</t>
  </si>
  <si>
    <t>Next → 4 Results</t>
  </si>
  <si>
    <t>Named loan settings</t>
  </si>
  <si>
    <t>The second argument is balloon_fraction; remaining settings use defaults.</t>
  </si>
  <si>
    <t>Loan contract</t>
  </si>
  <si>
    <t>Direct pricing uses Receive and the contract notional; use a trade for other position terms.</t>
  </si>
  <si>
    <t>Explicit loan pricer</t>
  </si>
  <si>
    <t>An explicit discount curve with optional named refinancing and fair-rate settings.</t>
  </si>
  <si>
    <t>Capture first market</t>
  </si>
  <si>
    <t>Captures market quotes and the curve definition together; fixings stay separate.</t>
  </si>
  <si>
    <t>Capture next market</t>
  </si>
  <si>
    <t>Same independent quote arrays, next business date.</t>
  </si>
  <si>
    <t>First snapshot</t>
  </si>
  <si>
    <t>Second snapshot</t>
  </si>
  <si>
    <t>Archive complete markets</t>
  </si>
  <si>
    <t>Historical batch pricing constructs each distinct selected market once.</t>
  </si>
  <si>
    <t>Direct prices and historical batch</t>
  </si>
  <si>
    <t>No evaluation handle is needed. The complete input range gives Excel the calculation dependencies.</t>
  </si>
  <si>
    <t>Measure</t>
  </si>
  <si>
    <t>Receipt PV (EUR)</t>
  </si>
  <si>
    <t>Native loan pricer using the context base discount curve.</t>
  </si>
  <si>
    <t>Fair coupon</t>
  </si>
  <si>
    <t>Cashflows</t>
  </si>
  <si>
    <t>Sensitivities</t>
  </si>
  <si>
    <t>Instrument</t>
  </si>
  <si>
    <t>Origination timestamp</t>
  </si>
  <si>
    <t>Receipt PV</t>
  </si>
  <si>
    <t>2026-02-25T17:00:00Z</t>
  </si>
  <si>
    <t>2026-02-24T17:00:00Z</t>
  </si>
  <si>
    <t>2026-02-25T18:00:00Z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</si>
</sst>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0.00%"/>
    <numFmt numFmtId="166" formatCode="#,##0.00;[Red](#,##0.00)"/>
    <numFmt numFmtId="167" formatCode="0.0000%"/>
  </numFmts>
  <fonts count="12">
    <font>
      <sz val="11"/>
      <color theme="1"/>
      <name val="Calibri"/>
      <family val="2"/>
      <scheme val="minor"/>
    </font>
    <font>
      <sz val="11"/>
      <color rgb="FF273B4A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526779"/>
      <name val="Calibri"/>
      <family val="2"/>
      <scheme val="minor"/>
    </font>
    <font>
      <b/>
      <sz val="12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26B9A"/>
      <name val="Calibri"/>
      <family val="2"/>
      <scheme val="minor"/>
    </font>
    <font>
      <sz val="10"/>
      <color rgb="FF526779"/>
      <name val="Calibri"/>
      <family val="2"/>
      <scheme val="minor"/>
    </font>
    <font>
      <sz val="11"/>
      <color rgb="FF174EA6"/>
      <name val="Calibri"/>
      <family val="2"/>
      <scheme val="minor"/>
    </font>
    <font>
      <sz val="11"/>
      <color rgb="FF145C43"/>
      <name val="Calibri"/>
      <family val="2"/>
      <scheme val="minor"/>
    </font>
    <font>
      <sz val="9"/>
      <color rgb="FF526779"/>
      <name val="Consolas"/>
      <family val="2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5EDF2"/>
        <bgColor indexed="64"/>
      </patternFill>
    </fill>
    <fill>
      <patternFill patternType="solid">
        <fgColor rgb="FF176B75"/>
        <bgColor indexed="64"/>
      </patternFill>
    </fill>
    <fill>
      <patternFill patternType="solid">
        <fgColor rgb="FFE8F1FC"/>
        <bgColor indexed="64"/>
      </patternFill>
    </fill>
    <fill>
      <patternFill patternType="solid">
        <fgColor rgb="FFEAF5EF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F7F9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BDBEE"/>
      </left>
      <right style="thin">
        <color rgb="FFCBDBEE"/>
      </right>
      <top style="thin">
        <color rgb="FFCBDBEE"/>
      </top>
      <bottom style="thin">
        <color rgb="FFCBDBE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164" fontId="8" fillId="5" borderId="2" xfId="0" applyNumberFormat="1" applyFont="1" applyFill="1" applyBorder="1" applyAlignment="1">
      <alignment vertical="center" wrapText="1"/>
    </xf>
    <xf numFmtId="165" fontId="8" fillId="5" borderId="2" xfId="0" applyNumberFormat="1" applyFont="1" applyFill="1" applyBorder="1" applyAlignment="1">
      <alignment vertical="center" wrapText="1"/>
    </xf>
    <xf numFmtId="0" fontId="10" fillId="8" borderId="0" xfId="0" applyFont="1" applyFill="1" applyAlignment="1">
      <alignment vertical="top" wrapText="1"/>
    </xf>
    <xf numFmtId="166" fontId="9" fillId="6" borderId="0" xfId="0" applyNumberFormat="1" applyFont="1" applyFill="1" applyAlignment="1">
      <alignment vertical="center" wrapText="1"/>
    </xf>
    <xf numFmtId="167" fontId="9" fillId="6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7"/>
  <sheetViews>
    <sheetView showGridLines="0" tabSelected="1" zoomScale="90" zoomScaleNormal="90" workbookViewId="0">
      <pane ySplit="9" topLeftCell="A10" activePane="bottomLeft" state="frozen"/>
      <selection pane="bottomLeft"/>
    </sheetView>
  </sheetViews>
  <sheetFormatPr defaultRowHeight="26.25" customHeight="1"/>
  <cols>
    <col min="1" max="1" width="8.7109375" style="1" customWidth="1"/>
    <col min="2" max="2" width="22.7109375" style="1" customWidth="1"/>
    <col min="3" max="3" width="17.7109375" style="1" customWidth="1"/>
    <col min="4" max="5" width="22.7109375" style="1" customWidth="1"/>
    <col min="6" max="6" width="18.7109375" style="1" customWidth="1"/>
  </cols>
  <sheetData>
    <row r="1" spans="1:6" ht="30" customHeight="1">
      <c r="A1" s="2" t="s">
        <v>0</v>
      </c>
      <c r="B1" s="2"/>
      <c r="C1" s="2"/>
      <c r="D1" s="2"/>
      <c r="E1" s="2"/>
      <c r="F1" s="2"/>
    </row>
    <row r="2" spans="1:6" ht="30" customHeight="1">
      <c r="A2" s="2"/>
      <c r="B2" s="2"/>
      <c r="C2" s="2"/>
      <c r="D2" s="2"/>
      <c r="E2" s="2"/>
      <c r="F2" s="2"/>
    </row>
    <row r="3" spans="1:6" ht="26.25" customHeight="1">
      <c r="A3" s="3" t="s">
        <v>1</v>
      </c>
      <c r="B3" s="3"/>
      <c r="C3" s="3"/>
      <c r="D3" s="3"/>
      <c r="E3" s="3"/>
      <c r="F3" s="3"/>
    </row>
    <row r="4" spans="1:6" ht="26.25" customHeight="1">
      <c r="A4" s="3"/>
      <c r="B4" s="3"/>
      <c r="C4" s="3"/>
      <c r="D4" s="3"/>
      <c r="E4" s="3"/>
      <c r="F4" s="3"/>
    </row>
    <row r="6" spans="1:6" ht="26.25" customHeight="1">
      <c r="A6" s="4" t="s">
        <v>2</v>
      </c>
      <c r="B6" s="4"/>
      <c r="C6" s="4"/>
      <c r="D6" s="4"/>
      <c r="E6" s="4"/>
      <c r="F6" s="4"/>
    </row>
    <row r="7" spans="1:6" ht="26.25" customHeight="1">
      <c r="A7" s="4"/>
      <c r="B7" s="4"/>
      <c r="C7" s="4"/>
      <c r="D7" s="4"/>
      <c r="E7" s="4"/>
      <c r="F7" s="4"/>
    </row>
    <row r="9" spans="1:6" ht="26.25" customHeight="1">
      <c r="A9" s="5" t="s">
        <v>3</v>
      </c>
      <c r="B9" s="5"/>
      <c r="C9" s="5"/>
      <c r="D9" s="5"/>
      <c r="E9" s="5"/>
      <c r="F9" s="5"/>
    </row>
    <row r="10" spans="1:6" ht="33.75" customHeight="1">
      <c r="A10" s="4" t="s">
        <v>4</v>
      </c>
      <c r="B10" s="6" t="s">
        <v>5</v>
      </c>
      <c r="C10" s="7"/>
      <c r="D10" s="1" t="s">
        <v>6</v>
      </c>
      <c r="E10" s="1"/>
      <c r="F10" s="1"/>
    </row>
    <row r="11" spans="1:6" ht="33.75" customHeight="1">
      <c r="A11" s="4" t="s">
        <v>7</v>
      </c>
      <c r="B11" s="6" t="s">
        <v>8</v>
      </c>
      <c r="C11" s="7"/>
      <c r="D11" s="1" t="s">
        <v>9</v>
      </c>
      <c r="E11" s="1"/>
      <c r="F11" s="1"/>
    </row>
    <row r="12" spans="1:6" ht="33.75" customHeight="1">
      <c r="A12" s="4" t="s">
        <v>10</v>
      </c>
      <c r="B12" s="6" t="s">
        <v>11</v>
      </c>
      <c r="C12" s="7"/>
      <c r="D12" s="1" t="s">
        <v>12</v>
      </c>
      <c r="E12" s="1"/>
      <c r="F12" s="1"/>
    </row>
    <row r="13" spans="1:6" ht="33.75" customHeight="1">
      <c r="A13" s="4" t="s">
        <v>13</v>
      </c>
      <c r="B13" s="6" t="s">
        <v>14</v>
      </c>
      <c r="C13" s="7"/>
      <c r="D13" s="1" t="s">
        <v>15</v>
      </c>
      <c r="E13" s="1"/>
      <c r="F13" s="1"/>
    </row>
    <row r="16" spans="1:6" ht="26.25" customHeight="1">
      <c r="A16" s="5" t="s">
        <v>16</v>
      </c>
      <c r="B16" s="5"/>
      <c r="C16" s="5"/>
      <c r="D16" s="5"/>
      <c r="E16" s="5"/>
      <c r="F16" s="5"/>
    </row>
    <row r="17" spans="1:6" ht="30" customHeight="1">
      <c r="A17" s="8" t="s">
        <v>17</v>
      </c>
      <c r="B17" s="8"/>
      <c r="C17" s="8"/>
      <c r="D17" s="1" t="s">
        <v>18</v>
      </c>
      <c r="E17" s="1"/>
      <c r="F17" s="1"/>
    </row>
    <row r="18" spans="1:6" ht="30" customHeight="1">
      <c r="A18" s="9" t="s">
        <v>19</v>
      </c>
      <c r="B18" s="9"/>
      <c r="C18" s="9"/>
      <c r="D18" s="1" t="s">
        <v>20</v>
      </c>
      <c r="E18" s="1"/>
      <c r="F18" s="1"/>
    </row>
    <row r="19" spans="1:6" ht="30" customHeight="1">
      <c r="A19" s="10" t="s">
        <v>21</v>
      </c>
      <c r="B19" s="10"/>
      <c r="C19" s="10"/>
      <c r="D19" s="1" t="s">
        <v>22</v>
      </c>
      <c r="E19" s="1"/>
      <c r="F19" s="1"/>
    </row>
    <row r="21" spans="1:6" ht="26.25" customHeight="1">
      <c r="A21" s="5" t="s">
        <v>23</v>
      </c>
      <c r="B21" s="5"/>
      <c r="C21" s="5"/>
      <c r="D21" s="5"/>
      <c r="E21" s="5"/>
      <c r="F21" s="5"/>
    </row>
    <row r="22" spans="1:6" ht="33.75" customHeight="1">
      <c r="A22" s="1" t="s">
        <v>24</v>
      </c>
      <c r="B22" s="1"/>
      <c r="C22" s="1"/>
      <c r="D22" s="1"/>
      <c r="E22" s="1"/>
      <c r="F22" s="1"/>
    </row>
    <row r="23" spans="1:6" ht="33.75" customHeight="1">
      <c r="A23" s="1" t="s">
        <v>25</v>
      </c>
      <c r="B23" s="1"/>
      <c r="C23" s="1"/>
      <c r="D23" s="1"/>
      <c r="E23" s="1"/>
      <c r="F23" s="1"/>
    </row>
    <row r="24" spans="1:6" ht="33.75" customHeight="1">
      <c r="A24" s="1" t="s">
        <v>26</v>
      </c>
      <c r="B24" s="1"/>
      <c r="C24" s="1"/>
      <c r="D24" s="1"/>
      <c r="E24" s="1"/>
      <c r="F24" s="1"/>
    </row>
    <row r="26" spans="1:6" ht="26.25" customHeight="1">
      <c r="A26" s="7" t="s">
        <v>27</v>
      </c>
      <c r="B26" s="7"/>
      <c r="C26" s="7"/>
      <c r="D26" s="7"/>
      <c r="E26" s="7"/>
      <c r="F26" s="7"/>
    </row>
    <row r="27" spans="1:6" ht="26.25" customHeight="1">
      <c r="A27" s="7"/>
      <c r="B27" s="7"/>
      <c r="C27" s="7"/>
      <c r="D27" s="7"/>
      <c r="E27" s="7"/>
      <c r="F27" s="7"/>
    </row>
  </sheetData>
  <mergeCells count="24">
    <mergeCell ref="A1:F2"/>
    <mergeCell ref="A3:F4"/>
    <mergeCell ref="A6:F7"/>
    <mergeCell ref="A9:F9"/>
    <mergeCell ref="B10:C10"/>
    <mergeCell ref="D10:F10"/>
    <mergeCell ref="B11:C11"/>
    <mergeCell ref="D11:F11"/>
    <mergeCell ref="B12:C12"/>
    <mergeCell ref="D12:F12"/>
    <mergeCell ref="B13:C13"/>
    <mergeCell ref="D13:F13"/>
    <mergeCell ref="A16:F16"/>
    <mergeCell ref="A17:C17"/>
    <mergeCell ref="D17:F17"/>
    <mergeCell ref="A18:C18"/>
    <mergeCell ref="D18:F18"/>
    <mergeCell ref="A19:C19"/>
    <mergeCell ref="D19:F19"/>
    <mergeCell ref="A21:F21"/>
    <mergeCell ref="A22:F22"/>
    <mergeCell ref="A23:F23"/>
    <mergeCell ref="A24:F24"/>
    <mergeCell ref="A26:F27"/>
  </mergeCells>
  <hyperlinks>
    <hyperlink ref="B10" location="'1 Inputs'!A1" display="1 Inputs"/>
    <hyperlink ref="B11" location="'2 Contexts'!A1" display="2 Contexts"/>
    <hyperlink ref="B12" location="'3 Contracts'!A1" display="3 Contracts"/>
    <hyperlink ref="B13" location="'4 Results'!A1" display="4 Results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7AB7"/>
    <pageSetUpPr fitToPage="1"/>
  </sheetPr>
  <dimension ref="A1:P30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4" customHeight="1"/>
  <cols>
    <col min="1" max="1" width="34.7109375" style="1" customWidth="1"/>
    <col min="2" max="2" width="26.7109375" style="1" customWidth="1"/>
    <col min="3" max="3" width="62.7109375" style="1" customWidth="1"/>
    <col min="4" max="16" width="12.7109375" customWidth="1"/>
  </cols>
  <sheetData>
    <row r="1" spans="1:16" ht="38.25" customHeight="1">
      <c r="A1" s="2" t="s">
        <v>28</v>
      </c>
      <c r="B1" s="2"/>
      <c r="C1" s="2"/>
    </row>
    <row r="2" spans="1:16" ht="24" customHeight="1">
      <c r="A2" s="3" t="s">
        <v>29</v>
      </c>
      <c r="B2" s="3"/>
      <c r="C2" s="3"/>
    </row>
    <row r="3" spans="1:16" ht="24" customHeight="1">
      <c r="A3" s="3"/>
      <c r="B3" s="3"/>
      <c r="C3" s="3"/>
    </row>
    <row r="4" spans="1:16" ht="36" customHeight="1">
      <c r="A4" s="6" t="s">
        <v>30</v>
      </c>
      <c r="C4" s="6" t="s">
        <v>31</v>
      </c>
    </row>
    <row r="6" spans="1:16" ht="36" customHeight="1">
      <c r="A6" s="5" t="s">
        <v>32</v>
      </c>
      <c r="B6" s="5" t="s">
        <v>33</v>
      </c>
      <c r="C6" s="5" t="s">
        <v>34</v>
      </c>
    </row>
    <row r="7" spans="1:16" ht="32.25" customHeight="1">
      <c r="A7" s="1" t="s">
        <v>35</v>
      </c>
      <c r="B7" s="8" t="s">
        <v>36</v>
      </c>
      <c r="C7" s="7" t="s">
        <v>37</v>
      </c>
    </row>
    <row r="8" spans="1:16" ht="32.25" customHeight="1">
      <c r="A8" s="1" t="s">
        <v>38</v>
      </c>
      <c r="B8" s="8" t="s">
        <v>39</v>
      </c>
      <c r="C8" s="7" t="s">
        <v>40</v>
      </c>
    </row>
    <row r="9" spans="1:16" ht="32.25" customHeight="1">
      <c r="A9" s="1" t="s">
        <v>41</v>
      </c>
      <c r="B9" s="8" t="s">
        <v>42</v>
      </c>
      <c r="C9" s="7" t="s">
        <v>43</v>
      </c>
    </row>
    <row r="10" spans="1:16" ht="32.25" customHeight="1">
      <c r="A10" s="1" t="s">
        <v>44</v>
      </c>
      <c r="B10" s="11">
        <v>10000</v>
      </c>
      <c r="C10" s="7" t="s">
        <v>45</v>
      </c>
    </row>
    <row r="11" spans="1:16" ht="32.25" customHeight="1">
      <c r="A11" s="1" t="s">
        <v>46</v>
      </c>
      <c r="B11" s="12">
        <v>0.05</v>
      </c>
      <c r="C11" s="7" t="s">
        <v>47</v>
      </c>
    </row>
    <row r="12" spans="1:16" ht="32.25" customHeight="1">
      <c r="A12" s="1" t="s">
        <v>48</v>
      </c>
      <c r="B12" s="12">
        <v>0.25</v>
      </c>
      <c r="C12" s="7" t="s">
        <v>49</v>
      </c>
    </row>
    <row r="16" spans="1:16" ht="24" customHeight="1">
      <c r="D16" s="5" t="s">
        <v>51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36" customHeight="1">
      <c r="A17" s="5" t="s">
        <v>50</v>
      </c>
      <c r="B17" s="5"/>
      <c r="C17" s="5"/>
      <c r="D17" s="12">
        <v>0.029</v>
      </c>
      <c r="E17" s="12">
        <v>0.0288</v>
      </c>
      <c r="F17" s="12">
        <v>0.028</v>
      </c>
      <c r="G17" s="12">
        <v>0.0265</v>
      </c>
      <c r="H17" s="12">
        <v>0.025</v>
      </c>
      <c r="I17" s="12">
        <v>0.0245</v>
      </c>
      <c r="J17" s="12">
        <v>0.0243</v>
      </c>
      <c r="K17" s="12">
        <v>0.0242</v>
      </c>
      <c r="L17" s="12">
        <v>0.0245</v>
      </c>
      <c r="M17" s="12">
        <v>0.0252</v>
      </c>
      <c r="N17" s="12">
        <v>0.0258</v>
      </c>
      <c r="O17" s="12">
        <v>0.0255</v>
      </c>
      <c r="P17" s="12">
        <v>0.024</v>
      </c>
    </row>
    <row r="18" spans="1:16" ht="24" customHeight="1">
      <c r="A18" s="8" t="s">
        <v>52</v>
      </c>
    </row>
    <row r="19" spans="1:16" ht="24" customHeight="1">
      <c r="A19" s="8" t="s">
        <v>53</v>
      </c>
    </row>
    <row r="20" spans="1:16" ht="24" customHeight="1">
      <c r="A20" s="8" t="s">
        <v>54</v>
      </c>
    </row>
    <row r="21" spans="1:16" ht="24" customHeight="1">
      <c r="A21" s="8" t="s">
        <v>55</v>
      </c>
    </row>
    <row r="22" spans="1:16" ht="24" customHeight="1">
      <c r="A22" s="8" t="s">
        <v>56</v>
      </c>
    </row>
    <row r="23" spans="1:16" ht="24" customHeight="1">
      <c r="A23" s="8" t="s">
        <v>57</v>
      </c>
    </row>
    <row r="24" spans="1:16" ht="24" customHeight="1">
      <c r="A24" s="8" t="s">
        <v>58</v>
      </c>
    </row>
    <row r="25" spans="1:16" ht="24" customHeight="1">
      <c r="A25" s="8" t="s">
        <v>59</v>
      </c>
    </row>
    <row r="26" spans="1:16" ht="24" customHeight="1">
      <c r="A26" s="8" t="s">
        <v>60</v>
      </c>
    </row>
    <row r="27" spans="1:16" ht="24" customHeight="1">
      <c r="A27" s="8" t="s">
        <v>61</v>
      </c>
    </row>
    <row r="28" spans="1:16" ht="24" customHeight="1">
      <c r="A28" s="8" t="s">
        <v>62</v>
      </c>
    </row>
    <row r="29" spans="1:16" ht="24" customHeight="1">
      <c r="A29" s="8" t="s">
        <v>63</v>
      </c>
    </row>
    <row r="30" spans="1:16" ht="24" customHeight="1">
      <c r="A30" s="8" t="s">
        <v>64</v>
      </c>
    </row>
  </sheetData>
  <mergeCells count="3">
    <mergeCell ref="A1:C1"/>
    <mergeCell ref="A2:C3"/>
    <mergeCell ref="D16:P16"/>
  </mergeCells>
  <hyperlinks>
    <hyperlink ref="A4" location="'Start Here'!A1" display="← Start Here"/>
    <hyperlink ref="C4" location="'2 Contexts'!A1" display="Next → 2 Contexts"/>
  </hyperlinks>
  <pageMargins left="0.3" right="0.3" top="0.4" bottom="0.4" header="0.3" footer="0.3"/>
  <pageSetup paperSize="9" fitToHeight="0" orientation="landscape"/>
  <headerFooter>
    <oddFooter>&amp;LQuantSupport&amp;CContract and position inputs&amp;R&amp;P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8909C"/>
    <pageSetUpPr fitToPage="1"/>
  </sheetPr>
  <dimension ref="A1:C24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4" customHeight="1"/>
  <cols>
    <col min="1" max="1" width="34.7109375" style="1" customWidth="1"/>
    <col min="2" max="3" width="48.7109375" style="1" customWidth="1"/>
  </cols>
  <sheetData>
    <row r="1" spans="1:3" ht="38.25" customHeight="1">
      <c r="A1" s="2" t="s">
        <v>65</v>
      </c>
      <c r="B1" s="2"/>
      <c r="C1" s="2"/>
    </row>
    <row r="2" spans="1:3" ht="24" customHeight="1">
      <c r="A2" s="3" t="s">
        <v>66</v>
      </c>
      <c r="B2" s="3"/>
      <c r="C2" s="3"/>
    </row>
    <row r="3" spans="1:3" ht="24" customHeight="1">
      <c r="A3" s="3"/>
      <c r="B3" s="3"/>
      <c r="C3" s="3"/>
    </row>
    <row r="4" spans="1:3" ht="36" customHeight="1">
      <c r="A4" s="6" t="s">
        <v>30</v>
      </c>
      <c r="C4" s="6" t="s">
        <v>67</v>
      </c>
    </row>
    <row r="6" spans="1:3" ht="36" customHeight="1">
      <c r="A6" s="5" t="s">
        <v>68</v>
      </c>
      <c r="B6" s="5" t="s">
        <v>69</v>
      </c>
      <c r="C6" s="5" t="s">
        <v>70</v>
      </c>
    </row>
    <row r="7" spans="1:3" ht="38.25" customHeight="1">
      <c r="A7" s="4" t="s">
        <v>71</v>
      </c>
      <c r="B7" s="10" cm="1" t="str">
        <f t="array" ref="B7">_xll.QS.CONTEXT.CREATE("Example.Context",Context_Date,"EUR","ESTR")</f>
        <v/>
      </c>
      <c r="C7" s="7" t="s">
        <v>72</v>
      </c>
    </row>
    <row r="8" spans="1:3" ht="33.75" customHeight="1">
      <c r="A8" s="13" t="str">
        <f>SUBSTITUTE(_xlfn.FORMULATEXT(B7),",",", ")</f>
        <v>=QS.CONTEXT.CREATE("Example.Context", Context_Date, "EUR", "ESTR")</v>
      </c>
      <c r="B8" s="13"/>
      <c r="C8" s="13"/>
    </row>
    <row r="12" spans="1:3" ht="24" customHeight="1">
      <c r="A12" s="1" t="s">
        <v>73</v>
      </c>
      <c r="B12" s="10" cm="1" t="str">
        <f t="array" ref="B12">_xll.QS.CONTEXT.ADD.QUOTES(Context_Root,Context_QuoteIds,Context_QuoteMid)</f>
        <v/>
      </c>
    </row>
    <row r="13" spans="1:3" ht="24" customHeight="1">
      <c r="A13" s="1" t="s">
        <v>74</v>
      </c>
      <c r="B13" s="10" cm="1" t="str">
        <f t="array" ref="B13">_xll.QS.CONTEXT.ADD.CURVE(Context_Root,"ESTR")</f>
        <v/>
      </c>
    </row>
    <row r="15" spans="1:3" ht="24" customHeight="1">
      <c r="A15" s="7" t="s">
        <v>75</v>
      </c>
      <c r="B15" s="7"/>
      <c r="C15" s="7"/>
    </row>
    <row r="16" spans="1:3" ht="24" customHeight="1">
      <c r="A16" s="7"/>
      <c r="B16" s="7"/>
      <c r="C16" s="7"/>
    </row>
    <row r="19" spans="1:3" ht="38.25" customHeight="1">
      <c r="A19" s="4" t="s">
        <v>76</v>
      </c>
      <c r="B19" s="10" cm="1" t="str">
        <f t="array" ref="B19">_xll.QS.CONTEXT.CREATE("Example.Next",Context_NextDate,"EUR","ESTR")</f>
        <v/>
      </c>
      <c r="C19" s="7" t="s">
        <v>77</v>
      </c>
    </row>
    <row r="20" spans="1:3" ht="33.75" customHeight="1">
      <c r="A20" s="13" t="str">
        <f>SUBSTITUTE(_xlfn.FORMULATEXT(B19),",",", ")</f>
        <v>=QS.CONTEXT.CREATE("Example.Next", Context_NextDate, "EUR", "ESTR")</v>
      </c>
      <c r="B20" s="13"/>
      <c r="C20" s="13"/>
    </row>
    <row r="24" spans="1:3" ht="24" customHeight="1">
      <c r="A24" s="1" t="s">
        <v>78</v>
      </c>
      <c r="B24" s="10" cm="1" t="str">
        <f t="array" ref="B24">_xll.QS.CONTEXT.ADD.CURVE(Context_NextRoot,"ESTR",Context_QuoteIds,Context_QuoteMid)</f>
        <v/>
      </c>
    </row>
  </sheetData>
  <mergeCells count="5">
    <mergeCell ref="A1:C1"/>
    <mergeCell ref="A2:C3"/>
    <mergeCell ref="A8:C8"/>
    <mergeCell ref="A15:C16"/>
    <mergeCell ref="A20:C20"/>
  </mergeCells>
  <hyperlinks>
    <hyperlink ref="A4" location="'Start Here'!A1" display="← Start Here"/>
    <hyperlink ref="C4" location="'3 Contracts'!A1" display="Next → 3 Contracts"/>
  </hyperlinks>
  <pageMargins left="0.3" right="0.3" top="0.4" bottom="0.4" header="0.3" footer="0.3"/>
  <pageSetup paperSize="9" fitToHeight="0" orientation="landscape"/>
  <headerFooter>
    <oddFooter>&amp;LQuantSupport&amp;CCreate contexts and independent inputs&amp;R&amp;P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8909C"/>
    <pageSetUpPr fitToPage="1"/>
  </sheetPr>
  <dimension ref="A1:C26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4" customHeight="1"/>
  <cols>
    <col min="1" max="1" width="34.7109375" style="1" customWidth="1"/>
    <col min="2" max="3" width="48.7109375" style="1" customWidth="1"/>
  </cols>
  <sheetData>
    <row r="1" spans="1:3" ht="38.25" customHeight="1">
      <c r="A1" s="2" t="s">
        <v>79</v>
      </c>
      <c r="B1" s="2"/>
      <c r="C1" s="2"/>
    </row>
    <row r="2" spans="1:3" ht="24" customHeight="1">
      <c r="A2" s="3" t="s">
        <v>80</v>
      </c>
      <c r="B2" s="3"/>
      <c r="C2" s="3"/>
    </row>
    <row r="3" spans="1:3" ht="24" customHeight="1">
      <c r="A3" s="3"/>
      <c r="B3" s="3"/>
      <c r="C3" s="3"/>
    </row>
    <row r="4" spans="1:3" ht="36" customHeight="1">
      <c r="A4" s="6" t="s">
        <v>30</v>
      </c>
      <c r="C4" s="6" t="s">
        <v>81</v>
      </c>
    </row>
    <row r="6" spans="1:3" ht="36" customHeight="1">
      <c r="A6" s="5" t="s">
        <v>68</v>
      </c>
      <c r="B6" s="5" t="s">
        <v>69</v>
      </c>
      <c r="C6" s="5" t="s">
        <v>70</v>
      </c>
    </row>
    <row r="7" spans="1:3" ht="38.25" customHeight="1">
      <c r="A7" s="4" t="s">
        <v>82</v>
      </c>
      <c r="B7" s="10" cm="1" t="str">
        <f t="array" ref="B7">_xll.QS.LOAN.SETTINGS("Example.Options",Context_Balloon)</f>
        <v/>
      </c>
      <c r="C7" s="7" t="s">
        <v>83</v>
      </c>
    </row>
    <row r="8" spans="1:3" ht="33.75" customHeight="1">
      <c r="A8" s="13" t="str">
        <f>SUBSTITUTE(_xlfn.FORMULATEXT(B7),",",", ")</f>
        <v>=QS.LOAN.SETTINGS("Example.Options", Context_Balloon)</v>
      </c>
      <c r="B8" s="13"/>
      <c r="C8" s="13"/>
    </row>
    <row r="10" spans="1:3" ht="38.25" customHeight="1">
      <c r="A10" s="4" t="s">
        <v>84</v>
      </c>
      <c r="B10" s="10" cm="1" t="str">
        <f t="array" ref="B10">_xll.QS.INSTRUMENT.LOAN("Example.Loan",Context_Date,Context_Maturity,"EUR",Context_Notional,Context_Rate,,"Balloon","Monthly","Actual365",Context_Options)</f>
        <v/>
      </c>
      <c r="C10" s="7" t="s">
        <v>85</v>
      </c>
    </row>
    <row r="11" spans="1:3" ht="33.75" customHeight="1">
      <c r="A11" s="13" t="str">
        <f>SUBSTITUTE(_xlfn.FORMULATEXT(B10),",",", ")</f>
        <v>=QS.INSTRUMENT.LOAN("Example.Loan", Context_Date, Context_Maturity, "EUR", Context_Notional, Context_Rate, , "Balloon", "Monthly", "Actual365", Context_Options)</v>
      </c>
      <c r="B11" s="13"/>
      <c r="C11" s="13"/>
    </row>
    <row r="13" spans="1:3" ht="38.25" customHeight="1">
      <c r="A13" s="4" t="s">
        <v>86</v>
      </c>
      <c r="B13" s="10" cm="1" t="str">
        <f t="array" ref="B13">_xll.QS.LOAN.PRICER("Example.Pricer","EUR","ESTR")</f>
        <v/>
      </c>
      <c r="C13" s="7" t="s">
        <v>87</v>
      </c>
    </row>
    <row r="14" spans="1:3" ht="33.75" customHeight="1">
      <c r="A14" s="13" t="str">
        <f>SUBSTITUTE(_xlfn.FORMULATEXT(B13),",",", ")</f>
        <v>=QS.LOAN.PRICER("Example.Pricer", "EUR", "ESTR")</v>
      </c>
      <c r="B14" s="13"/>
      <c r="C14" s="13"/>
    </row>
    <row r="16" spans="1:3" ht="38.25" customHeight="1">
      <c r="A16" s="4" t="s">
        <v>88</v>
      </c>
      <c r="B16" s="10" cm="1" t="str">
        <f t="array" ref="B16">_xll.QS.SNAPSHOT.FROM.CONTEXT("Example.Snapshot","2026-02-24T16:00:00Z",Context_Root,Context_Inputs)</f>
        <v/>
      </c>
      <c r="C16" s="7" t="s">
        <v>89</v>
      </c>
    </row>
    <row r="17" spans="1:3" ht="33.75" customHeight="1">
      <c r="A17" s="13" t="str">
        <f>SUBSTITUTE(_xlfn.FORMULATEXT(B16),",",", ")</f>
        <v>=QS.SNAPSHOT.FROM.CONTEXT("Example.Snapshot", "2026-02-24T16:00:00Z", Context_Root, Context_Inputs)</v>
      </c>
      <c r="B17" s="13"/>
      <c r="C17" s="13"/>
    </row>
    <row r="19" spans="1:3" ht="38.25" customHeight="1">
      <c r="A19" s="4" t="s">
        <v>90</v>
      </c>
      <c r="B19" s="10" cm="1" t="str">
        <f t="array" ref="B19">_xll.QS.SNAPSHOT.FROM.CONTEXT("Example.NextSnapshot","2026-02-25T16:00:00Z",Context_NextRoot,Context_NextInputs)</f>
        <v/>
      </c>
      <c r="C19" s="7" t="s">
        <v>91</v>
      </c>
    </row>
    <row r="20" spans="1:3" ht="33.75" customHeight="1">
      <c r="A20" s="13" t="str">
        <f>SUBSTITUTE(_xlfn.FORMULATEXT(B19),",",", ")</f>
        <v>=QS.SNAPSHOT.FROM.CONTEXT("Example.NextSnapshot", "2026-02-25T16:00:00Z", Context_NextRoot, Context_NextInputs)</v>
      </c>
      <c r="B20" s="13"/>
      <c r="C20" s="13"/>
    </row>
    <row r="22" spans="1:3" ht="24" customHeight="1">
      <c r="A22" s="1" t="s">
        <v>92</v>
      </c>
      <c r="B22" s="10">
        <f>Context_Snapshot</f>
        <v/>
      </c>
    </row>
    <row r="23" spans="1:3" ht="24" customHeight="1">
      <c r="A23" s="1" t="s">
        <v>93</v>
      </c>
      <c r="B23" s="10">
        <f>Context_NextSnapshot</f>
        <v/>
      </c>
    </row>
    <row r="25" spans="1:3" ht="38.25" customHeight="1">
      <c r="A25" s="4" t="s">
        <v>94</v>
      </c>
      <c r="B25" s="10" cm="1" t="str">
        <f t="array" ref="B25">_xll.QS.SNAPSHOTS.CREATE("Example.Archive",Context_Snapshots)</f>
        <v/>
      </c>
      <c r="C25" s="7" t="s">
        <v>95</v>
      </c>
    </row>
    <row r="26" spans="1:3" ht="33.75" customHeight="1">
      <c r="A26" s="13" t="str">
        <f>SUBSTITUTE(_xlfn.FORMULATEXT(B25),",",", ")</f>
        <v>=QS.SNAPSHOTS.CREATE("Example.Archive", Context_Snapshots)</v>
      </c>
      <c r="B26" s="13"/>
      <c r="C26" s="13"/>
    </row>
  </sheetData>
  <mergeCells count="8">
    <mergeCell ref="A1:C1"/>
    <mergeCell ref="A2:C3"/>
    <mergeCell ref="A8:C8"/>
    <mergeCell ref="A11:C11"/>
    <mergeCell ref="A14:C14"/>
    <mergeCell ref="A17:C17"/>
    <mergeCell ref="A20:C20"/>
    <mergeCell ref="A26:C26"/>
  </mergeCells>
  <hyperlinks>
    <hyperlink ref="A4" location="'Start Here'!A1" display="← Start Here"/>
    <hyperlink ref="C4" location="'4 Results'!A1" display="Next → 4 Results"/>
  </hyperlinks>
  <pageMargins left="0.3" right="0.3" top="0.4" bottom="0.4" header="0.3" footer="0.3"/>
  <pageSetup paperSize="9" fitToHeight="0" orientation="landscape"/>
  <headerFooter>
    <oddFooter>&amp;LQuantSupport&amp;CLoan contract and historical market archive&amp;R&amp;P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1845B"/>
    <pageSetUpPr fitToPage="1"/>
  </sheetPr>
  <dimension ref="A1:G161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4" customHeight="1"/>
  <cols>
    <col min="1" max="1" width="29.7109375" style="1" customWidth="1"/>
    <col min="2" max="2" width="24.7109375" style="1" customWidth="1"/>
    <col min="3" max="3" width="32.7109375" style="1" customWidth="1"/>
    <col min="4" max="4" width="8.7109375" style="1" customWidth="1"/>
    <col min="5" max="5" width="35.7109375" style="1" customWidth="1"/>
    <col min="6" max="6" width="30.7109375" style="1" customWidth="1"/>
    <col min="7" max="7" width="20.7109375" style="1" customWidth="1"/>
  </cols>
  <sheetData>
    <row r="1" spans="1:7" ht="38.25" customHeight="1">
      <c r="A1" s="2" t="s">
        <v>96</v>
      </c>
      <c r="B1" s="2"/>
      <c r="C1" s="2"/>
      <c r="D1" s="2"/>
      <c r="E1" s="2"/>
      <c r="F1" s="2"/>
      <c r="G1" s="2"/>
    </row>
    <row r="2" spans="1:7" ht="24" customHeight="1">
      <c r="A2" s="3" t="s">
        <v>97</v>
      </c>
      <c r="B2" s="3"/>
      <c r="C2" s="3"/>
      <c r="D2" s="3"/>
      <c r="E2" s="3"/>
      <c r="F2" s="3"/>
      <c r="G2" s="3"/>
    </row>
    <row r="3" spans="1:7" ht="24" customHeight="1">
      <c r="A3" s="3"/>
      <c r="B3" s="3"/>
      <c r="C3" s="3"/>
      <c r="D3" s="3"/>
      <c r="E3" s="3"/>
      <c r="F3" s="3"/>
      <c r="G3" s="3"/>
    </row>
    <row r="4" spans="1:7" ht="24" customHeight="1">
      <c r="A4" s="6" t="s">
        <v>30</v>
      </c>
    </row>
    <row r="6" spans="1:7" ht="36" customHeight="1">
      <c r="A6" s="5" t="s">
        <v>98</v>
      </c>
      <c r="B6" s="5" t="s">
        <v>33</v>
      </c>
      <c r="C6" s="5" t="s">
        <v>34</v>
      </c>
      <c r="E6" s="5" t="s">
        <v>104</v>
      </c>
      <c r="F6" s="5" t="s">
        <v>105</v>
      </c>
      <c r="G6" s="5" t="s">
        <v>106</v>
      </c>
    </row>
    <row r="7" spans="1:7" ht="24" customHeight="1">
      <c r="A7" s="1" t="s">
        <v>99</v>
      </c>
      <c r="B7" s="14" cm="1" t="str">
        <f t="array" ref="B7">_xll.QS.CONTEXT.PRICE(Context_Root,Context_Loan,"Value",Context_Inputs)</f>
        <v/>
      </c>
      <c r="C7" s="7" t="s">
        <v>100</v>
      </c>
      <c r="E7" s="10">
        <f>Context_Loan</f>
        <v/>
      </c>
      <c r="F7" s="8" t="s">
        <v>107</v>
      </c>
      <c r="G7" s="14" cm="1" t="str">
        <f t="array" ref="G7">_xll.QS.HISTORY.VALUES(Context_Archive,Context_HistoryInstruments,Context_Originations,Context_Pricer)</f>
        <v/>
      </c>
    </row>
    <row r="8" spans="1:7" ht="24" customHeight="1">
      <c r="A8" s="1" t="s">
        <v>101</v>
      </c>
      <c r="B8" s="15" cm="1" t="str">
        <f t="array" ref="B8">_xll.QS.CONTEXT.PRICE(Context_Root,Context_Loan,"FairRate(0)",Context_Inputs,Context_Pricer)</f>
        <v/>
      </c>
      <c r="E8" s="10">
        <f>Context_Loan</f>
        <v/>
      </c>
      <c r="F8" s="8" t="s">
        <v>108</v>
      </c>
    </row>
    <row r="9" spans="1:7" ht="24" customHeight="1">
      <c r="E9" s="10">
        <f>Context_Loan</f>
        <v/>
      </c>
      <c r="F9" s="8" t="s">
        <v>109</v>
      </c>
    </row>
    <row r="12" spans="1:7" ht="24" customHeight="1">
      <c r="A12" s="4" t="s">
        <v>102</v>
      </c>
    </row>
    <row r="13" spans="1:7" ht="24" customHeight="1">
      <c r="A13" s="9" cm="1" t="str">
        <f t="array" ref="A13">_xll.QS.CONTEXT.PRICE(Context_Root,Context_Loan,"Cashflows",Context_Inputs)</f>
        <v/>
      </c>
    </row>
    <row r="160" spans="1:1" ht="24" customHeight="1">
      <c r="A160" s="4" t="s">
        <v>103</v>
      </c>
    </row>
    <row r="161" spans="1:1" ht="24" customHeight="1">
      <c r="A161" s="9" cm="1" t="str">
        <f t="array" ref="A161">_xll.QS.CONTEXT.PRICE(Context_Root,Context_Loan,"Sensitivities",Context_Inputs)</f>
        <v/>
      </c>
    </row>
  </sheetData>
  <mergeCells count="2">
    <mergeCell ref="A1:G1"/>
    <mergeCell ref="A2:G3"/>
  </mergeCells>
  <hyperlinks>
    <hyperlink ref="A4" location="'Start Here'!A1" display="← Start Here"/>
  </hyperlinks>
  <pageMargins left="0.3" right="0.3" top="0.4" bottom="0.4" header="0.3" footer="0.3"/>
  <pageSetup paperSize="9" fitToHeight="0" orientation="landscape"/>
  <headerFooter>
    <oddFooter>&amp;LQuantSupport&amp;CDirect prices and historical batch&amp;R&amp;P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31</vt:i4>
      </vt:variant>
    </vt:vector>
  </HeadingPairs>
  <TitlesOfParts>
    <vt:vector size="36" baseType="lpstr">
      <vt:lpstr>Start Here</vt:lpstr>
      <vt:lpstr>1 Inputs</vt:lpstr>
      <vt:lpstr>2 Contexts</vt:lpstr>
      <vt:lpstr>3 Contracts</vt:lpstr>
      <vt:lpstr>4 Results</vt:lpstr>
      <vt:lpstr>Context_Archive</vt:lpstr>
      <vt:lpstr>Context_Balloon</vt:lpstr>
      <vt:lpstr>Context_Cashflows</vt:lpstr>
      <vt:lpstr>Context_Date</vt:lpstr>
      <vt:lpstr>Context_FairRate</vt:lpstr>
      <vt:lpstr>Context_HistoryInstruments</vt:lpstr>
      <vt:lpstr>Context_HistoryValues</vt:lpstr>
      <vt:lpstr>Context_Inputs</vt:lpstr>
      <vt:lpstr>Context_Loan</vt:lpstr>
      <vt:lpstr>Context_Maturity</vt:lpstr>
      <vt:lpstr>Context_NextDate</vt:lpstr>
      <vt:lpstr>Context_NextInputs</vt:lpstr>
      <vt:lpstr>Context_NextRoot</vt:lpstr>
      <vt:lpstr>Context_NextSnapshot</vt:lpstr>
      <vt:lpstr>Context_Notional</vt:lpstr>
      <vt:lpstr>Context_Options</vt:lpstr>
      <vt:lpstr>Context_Originations</vt:lpstr>
      <vt:lpstr>Context_Pricer</vt:lpstr>
      <vt:lpstr>Context_PV</vt:lpstr>
      <vt:lpstr>Context_QuoteIds</vt:lpstr>
      <vt:lpstr>Context_QuoteMid</vt:lpstr>
      <vt:lpstr>Context_Rate</vt:lpstr>
      <vt:lpstr>Context_Risk</vt:lpstr>
      <vt:lpstr>Context_Root</vt:lpstr>
      <vt:lpstr>Context_Snapshot</vt:lpstr>
      <vt:lpstr>Context_Snapshots</vt:lpstr>
      <vt:lpstr>'Start Here'!Print_Area</vt:lpstr>
      <vt:lpstr>'1 Inputs'!Print_Titles</vt:lpstr>
      <vt:lpstr>'2 Contexts'!Print_Titles</vt:lpstr>
      <vt:lpstr>'3 Contracts'!Print_Titles</vt:lpstr>
      <vt:lpstr>'4 Results'!Print_Titles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Context-first pricing</dc:title>
  <dc:creator/>
  <cp:lastModifiedBy/>
  <dcterms:created xsi:type="dcterms:W3CDTF">2026-01-01T00:00:00Z</dcterms:created>
  <dcterms:modified xsi:type="dcterms:W3CDTF">2026-01-01T00:00:00Z</dcterms:modified>
</cp:coreProperties>
</file>