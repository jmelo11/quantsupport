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1 Inputs" sheetId="2" r:id="rId2"/>
    <sheet name="2 Interpolation" sheetId="3" r:id="rId3"/>
    <sheet name="3 Schedules" sheetId="4" r:id="rId4"/>
  </sheets>
  <definedNames>
    <definedName name="Interpolation_Analytic">'2 Interpolation'!$B$19</definedName>
    <definedName name="Interpolation_B10">'2 Interpolation'!$B$10</definedName>
    <definedName name="Interpolation_B11">'2 Interpolation'!$B$11</definedName>
    <definedName name="Interpolation_B12">'2 Interpolation'!$B$12</definedName>
    <definedName name="Interpolation_B13">'2 Interpolation'!$B$13</definedName>
    <definedName name="Interpolation_B7">'2 Interpolation'!$B$7</definedName>
    <definedName name="Interpolation_B8">'2 Interpolation'!$B$8</definedName>
    <definedName name="Interpolation_B9">'2 Interpolation'!$B$9</definedName>
    <definedName name="Interpolation_Bilinear">'2 Interpolation'!$B$18</definedName>
    <definedName name="Interpolation_C10">'2 Interpolation'!$C$10</definedName>
    <definedName name="Interpolation_C11">'2 Interpolation'!$C$11</definedName>
    <definedName name="Interpolation_C12">'2 Interpolation'!$C$12</definedName>
    <definedName name="Interpolation_C13">'2 Interpolation'!$C$13</definedName>
    <definedName name="Interpolation_C7">'2 Interpolation'!$C$7</definedName>
    <definedName name="Interpolation_C8">'2 Interpolation'!$C$8</definedName>
    <definedName name="Interpolation_C9">'2 Interpolation'!$C$9</definedName>
    <definedName name="Interpolation_Calendar">'1 Inputs'!$B$38</definedName>
    <definedName name="Interpolation_Convention">'1 Inputs'!$B$39</definedName>
    <definedName name="Interpolation_D10">'2 Interpolation'!$D$10</definedName>
    <definedName name="Interpolation_D11">'2 Interpolation'!$D$11</definedName>
    <definedName name="Interpolation_D12">'2 Interpolation'!$D$12</definedName>
    <definedName name="Interpolation_D13">'2 Interpolation'!$D$13</definedName>
    <definedName name="Interpolation_D7">'2 Interpolation'!$D$7</definedName>
    <definedName name="Interpolation_D8">'2 Interpolation'!$D$8</definedName>
    <definedName name="Interpolation_D9">'2 Interpolation'!$D$9</definedName>
    <definedName name="Interpolation_Difference">'2 Interpolation'!$B$20</definedName>
    <definedName name="Interpolation_End">'1 Inputs'!$B$36</definedName>
    <definedName name="Interpolation_Factors">'1 Inputs'!$B$7:$B$11</definedName>
    <definedName name="Interpolation_Frequency">'1 Inputs'!$B$37</definedName>
    <definedName name="Interpolation_QueryX">'1 Inputs'!$B$31</definedName>
    <definedName name="Interpolation_QueryY">'1 Inputs'!$B$32</definedName>
    <definedName name="Interpolation_Start">'1 Inputs'!$B$35</definedName>
    <definedName name="Interpolation_SurfaceValues">'1 Inputs'!$C$25:$C$28</definedName>
    <definedName name="Interpolation_SurfaceX">'1 Inputs'!$A$25:$A$28</definedName>
    <definedName name="Interpolation_SurfaceY">'1 Inputs'!$B$25:$B$28</definedName>
    <definedName name="Interpolation_Times">'1 Inputs'!$A$7:$A$11</definedName>
    <definedName name="_xlnm.Print_Area" localSheetId="0">'Start Here'!$A$1:$F$26</definedName>
    <definedName name="_xlnm.Print_Titles" localSheetId="1">'1 Inputs'!$1:$6</definedName>
    <definedName name="_xlnm.Print_Titles" localSheetId="2">'2 Interpolation'!$1:$6</definedName>
    <definedName name="_xlnm.Print_Titles" localSheetId="3">'3 Schedules'!$1:$6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31" authorId="0">
      <text>
        <r>
          <rPr>
            <sz val="8"/>
            <color indexed="81"/>
            <rFont val="Tahoma"/>
            <family val="2"/>
          </rPr>
          <t>Used by the corresponding result tab.</t>
        </r>
      </text>
    </comment>
    <comment ref="B32" authorId="0">
      <text>
        <r>
          <rPr>
            <sz val="8"/>
            <color indexed="81"/>
            <rFont val="Tahoma"/>
            <family val="2"/>
          </rPr>
          <t>Used by the corresponding result tab.</t>
        </r>
      </text>
    </comment>
    <comment ref="B35" authorId="0">
      <text>
        <r>
          <rPr>
            <sz val="8"/>
            <color indexed="81"/>
            <rFont val="Tahoma"/>
            <family val="2"/>
          </rPr>
          <t>Used by the corresponding result tab.</t>
        </r>
      </text>
    </comment>
    <comment ref="B36" authorId="0">
      <text>
        <r>
          <rPr>
            <sz val="8"/>
            <color indexed="81"/>
            <rFont val="Tahoma"/>
            <family val="2"/>
          </rPr>
          <t>Used by the corresponding result tab.</t>
        </r>
      </text>
    </comment>
    <comment ref="B37" authorId="0">
      <text>
        <r>
          <rPr>
            <sz val="8"/>
            <color indexed="81"/>
            <rFont val="Tahoma"/>
            <family val="2"/>
          </rPr>
          <t>Used by the corresponding result tab.</t>
        </r>
      </text>
    </comment>
    <comment ref="B38" authorId="0">
      <text>
        <r>
          <rPr>
            <sz val="8"/>
            <color indexed="81"/>
            <rFont val="Tahoma"/>
            <family val="2"/>
          </rPr>
          <t>Used by the corresponding result tab.</t>
        </r>
      </text>
    </comment>
    <comment ref="B39" authorId="0">
      <text>
        <r>
          <rPr>
            <sz val="8"/>
            <color indexed="81"/>
            <rFont val="Tahoma"/>
            <family val="2"/>
          </rPr>
          <t>Used by the corresponding result tab.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<sst xmlns="http://schemas.openxmlformats.org/spreadsheetml/2006/main" count="73" uniqueCount="64">
  <si>
    <t>Interpolation and schedules · see what changes</t>
  </si>
  <si>
    <t>Compare three native one-dimensional methods, verify a bilinear surface, then inspect date-list layouts.</t>
  </si>
  <si>
    <t>Before you start: load quantsupport.xll in 64-bit Windows Excel, then press Ctrl+Alt+F9. Results are blank until Excel calculates. Dates are ISO text; enter 4% as 0.04.</t>
  </si>
  <si>
    <t>Follow the numbered tabs from left to right</t>
  </si>
  <si>
    <t>1</t>
  </si>
  <si>
    <t>1 Inputs</t>
  </si>
  <si>
    <t>Edit curve nodes, query points, surface coordinates and dates.</t>
  </si>
  <si>
    <t>2</t>
  </si>
  <si>
    <t>2 Interpolation</t>
  </si>
  <si>
    <t>Compare methods and check the bilinear example.</t>
  </si>
  <si>
    <t>3</t>
  </si>
  <si>
    <t>3 Schedules</t>
  </si>
  <si>
    <t>Compare unadjusted, adjusted and transposed date lists.</t>
  </si>
  <si>
    <t>Cell colours</t>
  </si>
  <si>
    <t>Blue · edit</t>
  </si>
  <si>
    <t>Assumptions and choices you can change.</t>
  </si>
  <si>
    <t>Green · read</t>
  </si>
  <si>
    <t>Financial results calculated by the add-in.</t>
  </si>
  <si>
    <t>Grey · build</t>
  </si>
  <si>
    <t>Object references on the Build tab. Each step shows its Excel formula below.</t>
  </si>
  <si>
    <t>Try this first</t>
  </si>
  <si>
    <t>1. Change one positive discount-factor node and compare the three methods.</t>
  </si>
  <si>
    <t>2. Move the bilinear query and compare the native and analytic values.</t>
  </si>
  <si>
    <t>3. Compare the same schedule before and after TARGET / Following adjustment.</t>
  </si>
  <si>
    <t>Use Ctrl+A after a function name for parameter help. Inline hints use the optional Excel-DNA IntelliSense companion. The example assumptions are illustrative; tables and results use the native Rust pricers.</t>
  </si>
  <si>
    <t>Numerical inputs</t>
  </si>
  <si>
    <t>Blue cells are editable. Positive discount factors support log-linear interpolation. The bilinear surface is 2 + x + 3y + xy.</t>
  </si>
  <si>
    <t>← Start Here</t>
  </si>
  <si>
    <t>Next → 2 Interpolation</t>
  </si>
  <si>
    <t>Time</t>
  </si>
  <si>
    <t>Discount factor</t>
  </si>
  <si>
    <t>Query point</t>
  </si>
  <si>
    <t>Surface x</t>
  </si>
  <si>
    <t>Surface y</t>
  </si>
  <si>
    <t>Surface value</t>
  </si>
  <si>
    <t>Query x</t>
  </si>
  <si>
    <t>Used by the corresponding result tab.</t>
  </si>
  <si>
    <t>Query y</t>
  </si>
  <si>
    <t>Schedule start</t>
  </si>
  <si>
    <t>2026-02-28</t>
  </si>
  <si>
    <t>Schedule end</t>
  </si>
  <si>
    <t>2027-02-28</t>
  </si>
  <si>
    <t>Frequency</t>
  </si>
  <si>
    <t>Quarterly</t>
  </si>
  <si>
    <t>Calendar</t>
  </si>
  <si>
    <t>TARGET</t>
  </si>
  <si>
    <t>Business-day convention</t>
  </si>
  <si>
    <t>Following</t>
  </si>
  <si>
    <t>Compare native interpolation methods</t>
  </si>
  <si>
    <t>The same nodes feed all three methods. Query points must stay inside the node range because extrapolation is disabled.</t>
  </si>
  <si>
    <t>Next → 3 Schedules</t>
  </si>
  <si>
    <t>Linear</t>
  </si>
  <si>
    <t>Log-linear</t>
  </si>
  <si>
    <t>Cubic spline</t>
  </si>
  <si>
    <t>Bilinear surface</t>
  </si>
  <si>
    <t>Calculated value</t>
  </si>
  <si>
    <t>Native interpolation</t>
  </si>
  <si>
    <t>Analytic value</t>
  </si>
  <si>
    <t>Difference</t>
  </si>
  <si>
    <t>The same schedule in different layouts</t>
  </si>
  <si>
    <t>Both date columns use the same start, end and frequency. The adjusted list adds TARGET / Following. Lists have no headers; transpose changes orientation only.</t>
  </si>
  <si>
    <t>Unadjusted</t>
  </si>
  <si>
    <t>TARGET / Following</t>
  </si>
  <si>
    <t>The unadjusted list transposed into one row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</si>
</sst>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00"/>
    <numFmt numFmtId="166" formatCode="0.000000"/>
  </numFmts>
  <fonts count="12">
    <font>
      <sz val="11"/>
      <color theme="1"/>
      <name val="Calibri"/>
      <family val="2"/>
      <scheme val="minor"/>
    </font>
    <font>
      <sz val="11"/>
      <color rgb="FF273B4A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526779"/>
      <name val="Calibri"/>
      <family val="2"/>
      <scheme val="minor"/>
    </font>
    <font>
      <b/>
      <sz val="12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26B9A"/>
      <name val="Calibri"/>
      <family val="2"/>
      <scheme val="minor"/>
    </font>
    <font>
      <sz val="10"/>
      <color rgb="FF526779"/>
      <name val="Calibri"/>
      <family val="2"/>
      <scheme val="minor"/>
    </font>
    <font>
      <sz val="11"/>
      <color rgb="FF174EA6"/>
      <name val="Calibri"/>
      <family val="2"/>
      <scheme val="minor"/>
    </font>
    <font>
      <sz val="11"/>
      <color rgb="FF145C43"/>
      <name val="Calibri"/>
      <family val="2"/>
      <scheme val="minor"/>
    </font>
    <font>
      <sz val="9"/>
      <color rgb="FF526779"/>
      <name val="Consolas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5EDF2"/>
        <bgColor indexed="64"/>
      </patternFill>
    </fill>
    <fill>
      <patternFill patternType="solid">
        <fgColor rgb="FF176B75"/>
        <bgColor indexed="64"/>
      </patternFill>
    </fill>
    <fill>
      <patternFill patternType="solid">
        <fgColor rgb="FFE8F1FC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F0F2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BDBEE"/>
      </left>
      <right style="thin">
        <color rgb="FFCBDBEE"/>
      </right>
      <top style="thin">
        <color rgb="FFCBDBEE"/>
      </top>
      <bottom style="thin">
        <color rgb="FFCBDBE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164" fontId="8" fillId="5" borderId="2" xfId="0" applyNumberFormat="1" applyFont="1" applyFill="1" applyBorder="1" applyAlignment="1">
      <alignment vertical="center" wrapText="1"/>
    </xf>
    <xf numFmtId="165" fontId="9" fillId="6" borderId="0" xfId="0" applyNumberFormat="1" applyFont="1" applyFill="1" applyAlignment="1">
      <alignment vertical="center" wrapText="1"/>
    </xf>
    <xf numFmtId="166" fontId="9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Same nodes · different interpolation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Linear</c:v>
          </c:tx>
          <c:spPr>
            <a:ln>
              <a:solidFill>
                <a:srgbClr val="176B75"/>
              </a:solidFill>
            </a:ln>
          </c:spPr>
          <c:marker>
            <c:symbol val="circle"/>
            <c:size val="4"/>
          </c:marker>
          <c:xVal>
            <c:strRef>
              <c:f>'2 Interpolation'!$A$7:$A$13</c:f>
              <c:strCache>
                <c:ptCount val="7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xVal>
          <c:yVal>
            <c:numRef>
              <c:f>'2 Interpolation'!$B$7:$B$13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</c:ser>
        <c:ser>
          <c:idx val="1"/>
          <c:order val="1"/>
          <c:tx>
            <c:v>Log-linear</c:v>
          </c:tx>
          <c:spPr>
            <a:ln>
              <a:solidFill>
                <a:srgbClr val="337AB7"/>
              </a:solidFill>
            </a:ln>
          </c:spPr>
          <c:marker>
            <c:symbol val="circle"/>
            <c:size val="4"/>
          </c:marker>
          <c:xVal>
            <c:strRef>
              <c:f>'2 Interpolation'!$A$7:$A$13</c:f>
              <c:strCache>
                <c:ptCount val="7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xVal>
          <c:yVal>
            <c:numRef>
              <c:f>'2 Interpolation'!$C$7:$C$13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</c:ser>
        <c:ser>
          <c:idx val="2"/>
          <c:order val="2"/>
          <c:tx>
            <c:v>Cubic spline</c:v>
          </c:tx>
          <c:spPr>
            <a:ln>
              <a:solidFill>
                <a:srgbClr val="B27C2C"/>
              </a:solidFill>
            </a:ln>
          </c:spPr>
          <c:marker>
            <c:symbol val="circle"/>
            <c:size val="4"/>
          </c:marker>
          <c:xVal>
            <c:strRef>
              <c:f>'2 Interpolation'!$A$7:$A$13</c:f>
              <c:strCache>
                <c:ptCount val="7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xVal>
          <c:yVal>
            <c:numRef>
              <c:f>'2 Interpolation'!$D$7:$D$13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Discount factor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3</xdr:col>
      <xdr:colOff>1247775</xdr:colOff>
      <xdr:row>31</xdr:row>
      <xdr:rowOff>209550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6"/>
  <sheetViews>
    <sheetView showGridLines="0" tabSelected="1" zoomScale="90" zoomScaleNormal="90" workbookViewId="0">
      <pane ySplit="9" topLeftCell="A10" activePane="bottomLeft" state="frozen"/>
      <selection pane="bottomLeft"/>
    </sheetView>
  </sheetViews>
  <sheetFormatPr defaultRowHeight="26" customHeight="1"/>
  <cols>
    <col min="1" max="1" width="8.7109375" style="1" customWidth="1"/>
    <col min="2" max="2" width="22.7109375" style="1" customWidth="1"/>
    <col min="3" max="3" width="17.7109375" style="1" customWidth="1"/>
    <col min="4" max="5" width="22.7109375" style="1" customWidth="1"/>
    <col min="6" max="6" width="18.7109375" style="1" customWidth="1"/>
  </cols>
  <sheetData>
    <row r="1" spans="1:6" ht="30" customHeight="1">
      <c r="A1" s="2" t="s">
        <v>0</v>
      </c>
      <c r="B1" s="2"/>
      <c r="C1" s="2"/>
      <c r="D1" s="2"/>
      <c r="E1" s="2"/>
      <c r="F1" s="2"/>
    </row>
    <row r="2" spans="1:6" ht="30" customHeight="1">
      <c r="A2" s="2"/>
      <c r="B2" s="2"/>
      <c r="C2" s="2"/>
      <c r="D2" s="2"/>
      <c r="E2" s="2"/>
      <c r="F2" s="2"/>
    </row>
    <row r="3" spans="1:6" ht="26" customHeight="1">
      <c r="A3" s="3" t="s">
        <v>1</v>
      </c>
      <c r="B3" s="3"/>
      <c r="C3" s="3"/>
      <c r="D3" s="3"/>
      <c r="E3" s="3"/>
      <c r="F3" s="3"/>
    </row>
    <row r="4" spans="1:6" ht="26" customHeight="1">
      <c r="A4" s="3"/>
      <c r="B4" s="3"/>
      <c r="C4" s="3"/>
      <c r="D4" s="3"/>
      <c r="E4" s="3"/>
      <c r="F4" s="3"/>
    </row>
    <row r="6" spans="1:6" ht="26" customHeight="1">
      <c r="A6" s="4" t="s">
        <v>2</v>
      </c>
      <c r="B6" s="4"/>
      <c r="C6" s="4"/>
      <c r="D6" s="4"/>
      <c r="E6" s="4"/>
      <c r="F6" s="4"/>
    </row>
    <row r="7" spans="1:6" ht="26" customHeight="1">
      <c r="A7" s="4"/>
      <c r="B7" s="4"/>
      <c r="C7" s="4"/>
      <c r="D7" s="4"/>
      <c r="E7" s="4"/>
      <c r="F7" s="4"/>
    </row>
    <row r="9" spans="1:6" ht="26" customHeight="1">
      <c r="A9" s="5" t="s">
        <v>3</v>
      </c>
      <c r="B9" s="5"/>
      <c r="C9" s="5"/>
      <c r="D9" s="5"/>
      <c r="E9" s="5"/>
      <c r="F9" s="5"/>
    </row>
    <row r="10" spans="1:6" ht="34" customHeight="1">
      <c r="A10" s="4" t="s">
        <v>4</v>
      </c>
      <c r="B10" s="6" t="s">
        <v>5</v>
      </c>
      <c r="C10" s="7"/>
      <c r="D10" s="1" t="s">
        <v>6</v>
      </c>
      <c r="E10" s="1"/>
      <c r="F10" s="1"/>
    </row>
    <row r="11" spans="1:6" ht="34" customHeight="1">
      <c r="A11" s="4" t="s">
        <v>7</v>
      </c>
      <c r="B11" s="6" t="s">
        <v>8</v>
      </c>
      <c r="C11" s="7"/>
      <c r="D11" s="1" t="s">
        <v>9</v>
      </c>
      <c r="E11" s="1"/>
      <c r="F11" s="1"/>
    </row>
    <row r="12" spans="1:6" ht="34" customHeight="1">
      <c r="A12" s="4" t="s">
        <v>10</v>
      </c>
      <c r="B12" s="6" t="s">
        <v>11</v>
      </c>
      <c r="C12" s="7"/>
      <c r="D12" s="1" t="s">
        <v>12</v>
      </c>
      <c r="E12" s="1"/>
      <c r="F12" s="1"/>
    </row>
    <row r="15" spans="1:6" ht="26" customHeight="1">
      <c r="A15" s="5" t="s">
        <v>13</v>
      </c>
      <c r="B15" s="5"/>
      <c r="C15" s="5"/>
      <c r="D15" s="5"/>
      <c r="E15" s="5"/>
      <c r="F15" s="5"/>
    </row>
    <row r="16" spans="1:6" ht="30" customHeight="1">
      <c r="A16" s="8" t="s">
        <v>14</v>
      </c>
      <c r="B16" s="8"/>
      <c r="C16" s="8"/>
      <c r="D16" s="1" t="s">
        <v>15</v>
      </c>
      <c r="E16" s="1"/>
      <c r="F16" s="1"/>
    </row>
    <row r="17" spans="1:6" ht="30" customHeight="1">
      <c r="A17" s="9" t="s">
        <v>16</v>
      </c>
      <c r="B17" s="9"/>
      <c r="C17" s="9"/>
      <c r="D17" s="1" t="s">
        <v>17</v>
      </c>
      <c r="E17" s="1"/>
      <c r="F17" s="1"/>
    </row>
    <row r="18" spans="1:6" ht="30" customHeight="1">
      <c r="A18" s="10" t="s">
        <v>18</v>
      </c>
      <c r="B18" s="10"/>
      <c r="C18" s="10"/>
      <c r="D18" s="1" t="s">
        <v>19</v>
      </c>
      <c r="E18" s="1"/>
      <c r="F18" s="1"/>
    </row>
    <row r="20" spans="1:6" ht="26" customHeight="1">
      <c r="A20" s="5" t="s">
        <v>20</v>
      </c>
      <c r="B20" s="5"/>
      <c r="C20" s="5"/>
      <c r="D20" s="5"/>
      <c r="E20" s="5"/>
      <c r="F20" s="5"/>
    </row>
    <row r="21" spans="1:6" ht="34" customHeight="1">
      <c r="A21" s="1" t="s">
        <v>21</v>
      </c>
      <c r="B21" s="1"/>
      <c r="C21" s="1"/>
      <c r="D21" s="1"/>
      <c r="E21" s="1"/>
      <c r="F21" s="1"/>
    </row>
    <row r="22" spans="1:6" ht="34" customHeight="1">
      <c r="A22" s="1" t="s">
        <v>22</v>
      </c>
      <c r="B22" s="1"/>
      <c r="C22" s="1"/>
      <c r="D22" s="1"/>
      <c r="E22" s="1"/>
      <c r="F22" s="1"/>
    </row>
    <row r="23" spans="1:6" ht="34" customHeight="1">
      <c r="A23" s="1" t="s">
        <v>23</v>
      </c>
      <c r="B23" s="1"/>
      <c r="C23" s="1"/>
      <c r="D23" s="1"/>
      <c r="E23" s="1"/>
      <c r="F23" s="1"/>
    </row>
    <row r="25" spans="1:6" ht="26" customHeight="1">
      <c r="A25" s="7" t="s">
        <v>24</v>
      </c>
      <c r="B25" s="7"/>
      <c r="C25" s="7"/>
      <c r="D25" s="7"/>
      <c r="E25" s="7"/>
      <c r="F25" s="7"/>
    </row>
    <row r="26" spans="1:6" ht="26" customHeight="1">
      <c r="A26" s="7"/>
      <c r="B26" s="7"/>
      <c r="C26" s="7"/>
      <c r="D26" s="7"/>
      <c r="E26" s="7"/>
      <c r="F26" s="7"/>
    </row>
  </sheetData>
  <mergeCells count="22">
    <mergeCell ref="A1:F2"/>
    <mergeCell ref="A3:F4"/>
    <mergeCell ref="A6:F7"/>
    <mergeCell ref="A9:F9"/>
    <mergeCell ref="B10:C10"/>
    <mergeCell ref="D10:F10"/>
    <mergeCell ref="B11:C11"/>
    <mergeCell ref="D11:F11"/>
    <mergeCell ref="B12:C12"/>
    <mergeCell ref="D12:F12"/>
    <mergeCell ref="A15:F15"/>
    <mergeCell ref="A16:C16"/>
    <mergeCell ref="D16:F16"/>
    <mergeCell ref="A17:C17"/>
    <mergeCell ref="D17:F17"/>
    <mergeCell ref="A18:C18"/>
    <mergeCell ref="D18:F18"/>
    <mergeCell ref="A20:F20"/>
    <mergeCell ref="A21:F21"/>
    <mergeCell ref="A22:F22"/>
    <mergeCell ref="A23:F23"/>
    <mergeCell ref="A25:F26"/>
  </mergeCells>
  <hyperlinks>
    <hyperlink ref="B10" location="'1 Inputs'!A1" display="1 Inputs"/>
    <hyperlink ref="B11" location="'2 Interpolation'!A1" display="2 Interpolation"/>
    <hyperlink ref="B12" location="'3 Schedules'!A1" display="3 Schedules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7AB7"/>
    <pageSetUpPr fitToPage="1"/>
  </sheetPr>
  <dimension ref="A1:C39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1" width="30.7109375" style="1" customWidth="1"/>
    <col min="2" max="2" width="24.7109375" style="1" customWidth="1"/>
    <col min="3" max="3" width="32.7109375" style="1" customWidth="1"/>
  </cols>
  <sheetData>
    <row r="1" spans="1:3" ht="38" customHeight="1">
      <c r="A1" s="2" t="s">
        <v>25</v>
      </c>
      <c r="B1" s="2"/>
      <c r="C1" s="2"/>
    </row>
    <row r="2" spans="1:3" ht="24" customHeight="1">
      <c r="A2" s="3" t="s">
        <v>26</v>
      </c>
      <c r="B2" s="3"/>
      <c r="C2" s="3"/>
    </row>
    <row r="3" spans="1:3" ht="24" customHeight="1">
      <c r="A3" s="3"/>
      <c r="B3" s="3"/>
      <c r="C3" s="3"/>
    </row>
    <row r="4" spans="1:3" ht="36" customHeight="1">
      <c r="A4" s="6" t="s">
        <v>27</v>
      </c>
      <c r="C4" s="6" t="s">
        <v>28</v>
      </c>
    </row>
    <row r="6" spans="1:3" ht="36" customHeight="1">
      <c r="A6" s="5" t="s">
        <v>29</v>
      </c>
      <c r="B6" s="5" t="s">
        <v>30</v>
      </c>
      <c r="C6" s="5"/>
    </row>
    <row r="7" spans="1:3" ht="24" customHeight="1">
      <c r="A7" s="8">
        <v>0</v>
      </c>
      <c r="B7" s="11">
        <v>1</v>
      </c>
    </row>
    <row r="8" spans="1:3" ht="24" customHeight="1">
      <c r="A8" s="8">
        <v>1</v>
      </c>
      <c r="B8" s="11">
        <v>0.97</v>
      </c>
    </row>
    <row r="9" spans="1:3" ht="24" customHeight="1">
      <c r="A9" s="8">
        <v>3</v>
      </c>
      <c r="B9" s="11">
        <v>0.91</v>
      </c>
    </row>
    <row r="10" spans="1:3" ht="24" customHeight="1">
      <c r="A10" s="8">
        <v>5</v>
      </c>
      <c r="B10" s="11">
        <v>0.85</v>
      </c>
    </row>
    <row r="11" spans="1:3" ht="24" customHeight="1">
      <c r="A11" s="8">
        <v>10</v>
      </c>
      <c r="B11" s="11">
        <v>0.7</v>
      </c>
    </row>
    <row r="14" spans="1:3" ht="36" customHeight="1">
      <c r="A14" s="5" t="s">
        <v>31</v>
      </c>
      <c r="B14" s="5"/>
      <c r="C14" s="5"/>
    </row>
    <row r="15" spans="1:3" ht="24" customHeight="1">
      <c r="A15" s="8">
        <v>0</v>
      </c>
    </row>
    <row r="16" spans="1:3" ht="24" customHeight="1">
      <c r="A16" s="8">
        <v>0.5</v>
      </c>
    </row>
    <row r="17" spans="1:3" ht="24" customHeight="1">
      <c r="A17" s="8">
        <v>1</v>
      </c>
    </row>
    <row r="18" spans="1:3" ht="24" customHeight="1">
      <c r="A18" s="8">
        <v>2</v>
      </c>
    </row>
    <row r="19" spans="1:3" ht="24" customHeight="1">
      <c r="A19" s="8">
        <v>4</v>
      </c>
    </row>
    <row r="20" spans="1:3" ht="24" customHeight="1">
      <c r="A20" s="8">
        <v>7</v>
      </c>
    </row>
    <row r="21" spans="1:3" ht="24" customHeight="1">
      <c r="A21" s="8">
        <v>10</v>
      </c>
    </row>
    <row r="24" spans="1:3" ht="36" customHeight="1">
      <c r="A24" s="5" t="s">
        <v>32</v>
      </c>
      <c r="B24" s="5" t="s">
        <v>33</v>
      </c>
      <c r="C24" s="5" t="s">
        <v>34</v>
      </c>
    </row>
    <row r="25" spans="1:3" ht="24" customHeight="1">
      <c r="A25" s="8">
        <v>0</v>
      </c>
      <c r="B25" s="8">
        <v>0</v>
      </c>
      <c r="C25" s="12">
        <f>2+A25+3*B25+A25*B25</f>
        <v/>
      </c>
    </row>
    <row r="26" spans="1:3" ht="24" customHeight="1">
      <c r="A26" s="8">
        <v>0</v>
      </c>
      <c r="B26" s="8">
        <v>2</v>
      </c>
      <c r="C26" s="12">
        <f>2+A26+3*B26+A26*B26</f>
        <v/>
      </c>
    </row>
    <row r="27" spans="1:3" ht="24" customHeight="1">
      <c r="A27" s="8">
        <v>1</v>
      </c>
      <c r="B27" s="8">
        <v>0</v>
      </c>
      <c r="C27" s="12">
        <f>2+A27+3*B27+A27*B27</f>
        <v/>
      </c>
    </row>
    <row r="28" spans="1:3" ht="24" customHeight="1">
      <c r="A28" s="8">
        <v>1</v>
      </c>
      <c r="B28" s="8">
        <v>2</v>
      </c>
      <c r="C28" s="12">
        <f>2+A28+3*B28+A28*B28</f>
        <v/>
      </c>
    </row>
    <row r="31" spans="1:3" ht="32" customHeight="1">
      <c r="A31" s="1" t="s">
        <v>35</v>
      </c>
      <c r="B31" s="8">
        <v>0.4</v>
      </c>
      <c r="C31" s="7" t="s">
        <v>36</v>
      </c>
    </row>
    <row r="32" spans="1:3" ht="32" customHeight="1">
      <c r="A32" s="1" t="s">
        <v>37</v>
      </c>
      <c r="B32" s="8">
        <v>0.7</v>
      </c>
      <c r="C32" s="7" t="s">
        <v>36</v>
      </c>
    </row>
    <row r="35" spans="1:3" ht="32" customHeight="1">
      <c r="A35" s="1" t="s">
        <v>38</v>
      </c>
      <c r="B35" s="8" t="s">
        <v>39</v>
      </c>
      <c r="C35" s="7" t="s">
        <v>36</v>
      </c>
    </row>
    <row r="36" spans="1:3" ht="32" customHeight="1">
      <c r="A36" s="1" t="s">
        <v>40</v>
      </c>
      <c r="B36" s="8" t="s">
        <v>41</v>
      </c>
      <c r="C36" s="7" t="s">
        <v>36</v>
      </c>
    </row>
    <row r="37" spans="1:3" ht="32" customHeight="1">
      <c r="A37" s="1" t="s">
        <v>42</v>
      </c>
      <c r="B37" s="8" t="s">
        <v>43</v>
      </c>
      <c r="C37" s="7" t="s">
        <v>36</v>
      </c>
    </row>
    <row r="38" spans="1:3" ht="32" customHeight="1">
      <c r="A38" s="1" t="s">
        <v>44</v>
      </c>
      <c r="B38" s="8" t="s">
        <v>45</v>
      </c>
      <c r="C38" s="7" t="s">
        <v>36</v>
      </c>
    </row>
    <row r="39" spans="1:3" ht="32" customHeight="1">
      <c r="A39" s="1" t="s">
        <v>46</v>
      </c>
      <c r="B39" s="8" t="s">
        <v>47</v>
      </c>
      <c r="C39" s="7" t="s">
        <v>36</v>
      </c>
    </row>
  </sheetData>
  <mergeCells count="2">
    <mergeCell ref="A1:C1"/>
    <mergeCell ref="A2:C3"/>
  </mergeCells>
  <hyperlinks>
    <hyperlink ref="A4" location="'Start Here'!A1" display="← Start Here"/>
    <hyperlink ref="C4" location="'2 Interpolation'!A1" display="Next → 2 Interpolation"/>
  </hyperlinks>
  <pageMargins left="0.3" right="0.3" top="0.4" bottom="0.4" header="0.3" footer="0.3"/>
  <pageSetup paperSize="9" fitToHeight="0" orientation="landscape"/>
  <headerFooter>
    <oddFooter>&amp;LQuantSupport&amp;CNumerical inputs&amp;R&amp;P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1845B"/>
    <pageSetUpPr fitToPage="1"/>
  </sheetPr>
  <dimension ref="A1:D20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4" width="24.7109375" style="1" customWidth="1"/>
  </cols>
  <sheetData>
    <row r="1" spans="1:4" ht="38" customHeight="1">
      <c r="A1" s="2" t="s">
        <v>48</v>
      </c>
      <c r="B1" s="2"/>
      <c r="C1" s="2"/>
      <c r="D1" s="2"/>
    </row>
    <row r="2" spans="1:4" ht="24" customHeight="1">
      <c r="A2" s="3" t="s">
        <v>49</v>
      </c>
      <c r="B2" s="3"/>
      <c r="C2" s="3"/>
      <c r="D2" s="3"/>
    </row>
    <row r="3" spans="1:4" ht="24" customHeight="1">
      <c r="A3" s="3"/>
      <c r="B3" s="3"/>
      <c r="C3" s="3"/>
      <c r="D3" s="3"/>
    </row>
    <row r="4" spans="1:4" ht="36" customHeight="1">
      <c r="A4" s="6" t="s">
        <v>27</v>
      </c>
      <c r="D4" s="6" t="s">
        <v>50</v>
      </c>
    </row>
    <row r="6" spans="1:4" ht="36" customHeight="1">
      <c r="A6" s="5" t="s">
        <v>31</v>
      </c>
      <c r="B6" s="5" t="s">
        <v>51</v>
      </c>
      <c r="C6" s="5" t="s">
        <v>52</v>
      </c>
      <c r="D6" s="5" t="s">
        <v>53</v>
      </c>
    </row>
    <row r="7" spans="1:4" ht="24" customHeight="1">
      <c r="A7" s="12">
        <f>'1 Inputs'!A15</f>
        <v/>
      </c>
      <c r="B7" s="13" cm="1" t="str">
        <f t="array" ref="B7">_xll.QS.INTERPOLATE.LINEAR(A7,Interpolation_Times,Interpolation_Factors,FALSE)</f>
        <v/>
      </c>
      <c r="C7" s="13" cm="1" t="str">
        <f t="array" ref="C7">_xll.QS.INTERPOLATE.LOG.LINEAR(A7,Interpolation_Times,Interpolation_Factors,FALSE)</f>
        <v/>
      </c>
      <c r="D7" s="13" cm="1" t="str">
        <f t="array" ref="D7">_xll.QS.INTERPOLATE.CUBIC.SPLINE(A7,Interpolation_Times,Interpolation_Factors,FALSE)</f>
        <v/>
      </c>
    </row>
    <row r="8" spans="1:4" ht="24" customHeight="1">
      <c r="A8" s="12">
        <f>'1 Inputs'!A16</f>
        <v/>
      </c>
      <c r="B8" s="13" cm="1" t="str">
        <f t="array" ref="B8">_xll.QS.INTERPOLATE.LINEAR(A8,Interpolation_Times,Interpolation_Factors,FALSE)</f>
        <v/>
      </c>
      <c r="C8" s="13" cm="1" t="str">
        <f t="array" ref="C8">_xll.QS.INTERPOLATE.LOG.LINEAR(A8,Interpolation_Times,Interpolation_Factors,FALSE)</f>
        <v/>
      </c>
      <c r="D8" s="13" cm="1" t="str">
        <f t="array" ref="D8">_xll.QS.INTERPOLATE.CUBIC.SPLINE(A8,Interpolation_Times,Interpolation_Factors,FALSE)</f>
        <v/>
      </c>
    </row>
    <row r="9" spans="1:4" ht="24" customHeight="1">
      <c r="A9" s="12">
        <f>'1 Inputs'!A17</f>
        <v/>
      </c>
      <c r="B9" s="13" cm="1" t="str">
        <f t="array" ref="B9">_xll.QS.INTERPOLATE.LINEAR(A9,Interpolation_Times,Interpolation_Factors,FALSE)</f>
        <v/>
      </c>
      <c r="C9" s="13" cm="1" t="str">
        <f t="array" ref="C9">_xll.QS.INTERPOLATE.LOG.LINEAR(A9,Interpolation_Times,Interpolation_Factors,FALSE)</f>
        <v/>
      </c>
      <c r="D9" s="13" cm="1" t="str">
        <f t="array" ref="D9">_xll.QS.INTERPOLATE.CUBIC.SPLINE(A9,Interpolation_Times,Interpolation_Factors,FALSE)</f>
        <v/>
      </c>
    </row>
    <row r="10" spans="1:4" ht="24" customHeight="1">
      <c r="A10" s="12">
        <f>'1 Inputs'!A18</f>
        <v/>
      </c>
      <c r="B10" s="13" cm="1" t="str">
        <f t="array" ref="B10">_xll.QS.INTERPOLATE.LINEAR(A10,Interpolation_Times,Interpolation_Factors,FALSE)</f>
        <v/>
      </c>
      <c r="C10" s="13" cm="1" t="str">
        <f t="array" ref="C10">_xll.QS.INTERPOLATE.LOG.LINEAR(A10,Interpolation_Times,Interpolation_Factors,FALSE)</f>
        <v/>
      </c>
      <c r="D10" s="13" cm="1" t="str">
        <f t="array" ref="D10">_xll.QS.INTERPOLATE.CUBIC.SPLINE(A10,Interpolation_Times,Interpolation_Factors,FALSE)</f>
        <v/>
      </c>
    </row>
    <row r="11" spans="1:4" ht="24" customHeight="1">
      <c r="A11" s="12">
        <f>'1 Inputs'!A19</f>
        <v/>
      </c>
      <c r="B11" s="13" cm="1" t="str">
        <f t="array" ref="B11">_xll.QS.INTERPOLATE.LINEAR(A11,Interpolation_Times,Interpolation_Factors,FALSE)</f>
        <v/>
      </c>
      <c r="C11" s="13" cm="1" t="str">
        <f t="array" ref="C11">_xll.QS.INTERPOLATE.LOG.LINEAR(A11,Interpolation_Times,Interpolation_Factors,FALSE)</f>
        <v/>
      </c>
      <c r="D11" s="13" cm="1" t="str">
        <f t="array" ref="D11">_xll.QS.INTERPOLATE.CUBIC.SPLINE(A11,Interpolation_Times,Interpolation_Factors,FALSE)</f>
        <v/>
      </c>
    </row>
    <row r="12" spans="1:4" ht="24" customHeight="1">
      <c r="A12" s="12">
        <f>'1 Inputs'!A20</f>
        <v/>
      </c>
      <c r="B12" s="13" cm="1" t="str">
        <f t="array" ref="B12">_xll.QS.INTERPOLATE.LINEAR(A12,Interpolation_Times,Interpolation_Factors,FALSE)</f>
        <v/>
      </c>
      <c r="C12" s="13" cm="1" t="str">
        <f t="array" ref="C12">_xll.QS.INTERPOLATE.LOG.LINEAR(A12,Interpolation_Times,Interpolation_Factors,FALSE)</f>
        <v/>
      </c>
      <c r="D12" s="13" cm="1" t="str">
        <f t="array" ref="D12">_xll.QS.INTERPOLATE.CUBIC.SPLINE(A12,Interpolation_Times,Interpolation_Factors,FALSE)</f>
        <v/>
      </c>
    </row>
    <row r="13" spans="1:4" ht="24" customHeight="1">
      <c r="A13" s="12">
        <f>'1 Inputs'!A21</f>
        <v/>
      </c>
      <c r="B13" s="13" cm="1" t="str">
        <f t="array" ref="B13">_xll.QS.INTERPOLATE.LINEAR(A13,Interpolation_Times,Interpolation_Factors,FALSE)</f>
        <v/>
      </c>
      <c r="C13" s="13" cm="1" t="str">
        <f t="array" ref="C13">_xll.QS.INTERPOLATE.LOG.LINEAR(A13,Interpolation_Times,Interpolation_Factors,FALSE)</f>
        <v/>
      </c>
      <c r="D13" s="13" cm="1" t="str">
        <f t="array" ref="D13">_xll.QS.INTERPOLATE.CUBIC.SPLINE(A13,Interpolation_Times,Interpolation_Factors,FALSE)</f>
        <v/>
      </c>
    </row>
    <row r="17" spans="1:4" ht="36" customHeight="1">
      <c r="A17" s="5" t="s">
        <v>54</v>
      </c>
      <c r="B17" s="5" t="s">
        <v>55</v>
      </c>
      <c r="C17" s="5"/>
      <c r="D17" s="5"/>
    </row>
    <row r="18" spans="1:4" ht="24" customHeight="1">
      <c r="A18" s="1" t="s">
        <v>56</v>
      </c>
      <c r="B18" s="12" cm="1" t="str">
        <f t="array" ref="B18">_xll.QS.INTERPOLATE.BILINEAR(Interpolation_QueryX,Interpolation_QueryY,Interpolation_SurfaceX,Interpolation_SurfaceY,Interpolation_SurfaceValues,"Reject")</f>
        <v/>
      </c>
    </row>
    <row r="19" spans="1:4" ht="24" customHeight="1">
      <c r="A19" s="1" t="s">
        <v>57</v>
      </c>
      <c r="B19" s="12">
        <f>2+Interpolation_QueryX+3*Interpolation_QueryY+Interpolation_QueryX*Interpolation_QueryY</f>
        <v/>
      </c>
    </row>
    <row r="20" spans="1:4" ht="24" customHeight="1">
      <c r="A20" s="1" t="s">
        <v>58</v>
      </c>
      <c r="B20" s="12">
        <f>Interpolation_Bilinear-Interpolation_Analytic</f>
        <v/>
      </c>
    </row>
  </sheetData>
  <mergeCells count="2">
    <mergeCell ref="A1:D1"/>
    <mergeCell ref="A2:D3"/>
  </mergeCells>
  <hyperlinks>
    <hyperlink ref="A4" location="'Start Here'!A1" display="← Start Here"/>
    <hyperlink ref="D4" location="'3 Schedules'!A1" display="Next → 3 Schedules"/>
  </hyperlinks>
  <pageMargins left="0.3" right="0.3" top="0.4" bottom="0.4" header="0.3" footer="0.3"/>
  <pageSetup paperSize="9" fitToHeight="0" orientation="landscape"/>
  <headerFooter>
    <oddFooter>&amp;LQuantSupport&amp;CCompare native interpolation methods&amp;R&amp;P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1845B"/>
    <pageSetUpPr fitToPage="1"/>
  </sheetPr>
  <dimension ref="A1:E17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5" width="20.7109375" style="1" customWidth="1"/>
    <col min="6" max="52" width="16.7109375" customWidth="1"/>
  </cols>
  <sheetData>
    <row r="1" spans="1:5" ht="38" customHeight="1">
      <c r="A1" s="2" t="s">
        <v>59</v>
      </c>
      <c r="B1" s="2"/>
      <c r="C1" s="2"/>
      <c r="D1" s="2"/>
      <c r="E1" s="2"/>
    </row>
    <row r="2" spans="1:5" ht="24" customHeight="1">
      <c r="A2" s="3" t="s">
        <v>60</v>
      </c>
      <c r="B2" s="3"/>
      <c r="C2" s="3"/>
      <c r="D2" s="3"/>
      <c r="E2" s="3"/>
    </row>
    <row r="3" spans="1:5" ht="24" customHeight="1">
      <c r="A3" s="3"/>
      <c r="B3" s="3"/>
      <c r="C3" s="3"/>
      <c r="D3" s="3"/>
      <c r="E3" s="3"/>
    </row>
    <row r="4" spans="1:5" ht="24" customHeight="1">
      <c r="A4" s="6" t="s">
        <v>27</v>
      </c>
    </row>
    <row r="6" spans="1:5" ht="24" customHeight="1">
      <c r="A6" s="5" t="s">
        <v>61</v>
      </c>
      <c r="C6" s="5" t="s">
        <v>62</v>
      </c>
    </row>
    <row r="7" spans="1:5" ht="24" customHeight="1">
      <c r="A7" s="1" cm="1" t="str">
        <f t="array" ref="A7">_xll.QS.SCHEDULE(Interpolation_Start,Interpolation_End,Interpolation_Frequency)</f>
        <v/>
      </c>
      <c r="C7" s="1" cm="1" t="str">
        <f t="array" ref="C7">_xll.QS.SCHEDULE.ADJUSTED(Interpolation_Start,Interpolation_End,Interpolation_Frequency,Interpolation_Calendar,Interpolation_Convention)</f>
        <v/>
      </c>
    </row>
    <row r="16" spans="1:5" ht="24" customHeight="1">
      <c r="A16" s="4" t="s">
        <v>63</v>
      </c>
      <c r="B16" s="4"/>
      <c r="C16" s="4"/>
      <c r="D16" s="4"/>
      <c r="E16" s="4"/>
    </row>
    <row r="17" spans="1:1" ht="24" customHeight="1">
      <c r="A17" s="1" cm="1" t="str">
        <f t="array" ref="A17">_xll.QS.SCHEDULE(Interpolation_Start,Interpolation_End,Interpolation_Frequency,TRUE)</f>
        <v/>
      </c>
    </row>
  </sheetData>
  <mergeCells count="3">
    <mergeCell ref="A1:E1"/>
    <mergeCell ref="A2:E3"/>
    <mergeCell ref="A16:E16"/>
  </mergeCells>
  <hyperlinks>
    <hyperlink ref="A4" location="'Start Here'!A1" display="← Start Here"/>
  </hyperlinks>
  <pageMargins left="0.3" right="0.3" top="0.4" bottom="0.4" header="0.3" footer="0.3"/>
  <pageSetup paperSize="9" fitToHeight="0" orientation="landscape"/>
  <headerFooter>
    <oddFooter>&amp;LQuantSupport&amp;CThe same schedule in different layouts&amp;R&amp;P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40</vt:i4>
      </vt:variant>
    </vt:vector>
  </HeadingPairs>
  <TitlesOfParts>
    <vt:vector size="44" baseType="lpstr">
      <vt:lpstr>Start Here</vt:lpstr>
      <vt:lpstr>1 Inputs</vt:lpstr>
      <vt:lpstr>2 Interpolation</vt:lpstr>
      <vt:lpstr>3 Schedules</vt:lpstr>
      <vt:lpstr>Interpolation_Analytic</vt:lpstr>
      <vt:lpstr>Interpolation_B10</vt:lpstr>
      <vt:lpstr>Interpolation_B11</vt:lpstr>
      <vt:lpstr>Interpolation_B12</vt:lpstr>
      <vt:lpstr>Interpolation_B13</vt:lpstr>
      <vt:lpstr>Interpolation_B7</vt:lpstr>
      <vt:lpstr>Interpolation_B8</vt:lpstr>
      <vt:lpstr>Interpolation_B9</vt:lpstr>
      <vt:lpstr>Interpolation_Bilinear</vt:lpstr>
      <vt:lpstr>Interpolation_C10</vt:lpstr>
      <vt:lpstr>Interpolation_C11</vt:lpstr>
      <vt:lpstr>Interpolation_C12</vt:lpstr>
      <vt:lpstr>Interpolation_C13</vt:lpstr>
      <vt:lpstr>Interpolation_C7</vt:lpstr>
      <vt:lpstr>Interpolation_C8</vt:lpstr>
      <vt:lpstr>Interpolation_C9</vt:lpstr>
      <vt:lpstr>Interpolation_Calendar</vt:lpstr>
      <vt:lpstr>Interpolation_Convention</vt:lpstr>
      <vt:lpstr>Interpolation_D10</vt:lpstr>
      <vt:lpstr>Interpolation_D11</vt:lpstr>
      <vt:lpstr>Interpolation_D12</vt:lpstr>
      <vt:lpstr>Interpolation_D13</vt:lpstr>
      <vt:lpstr>Interpolation_D7</vt:lpstr>
      <vt:lpstr>Interpolation_D8</vt:lpstr>
      <vt:lpstr>Interpolation_D9</vt:lpstr>
      <vt:lpstr>Interpolation_Difference</vt:lpstr>
      <vt:lpstr>Interpolation_End</vt:lpstr>
      <vt:lpstr>Interpolation_Factors</vt:lpstr>
      <vt:lpstr>Interpolation_Frequency</vt:lpstr>
      <vt:lpstr>Interpolation_QueryX</vt:lpstr>
      <vt:lpstr>Interpolation_QueryY</vt:lpstr>
      <vt:lpstr>Interpolation_Start</vt:lpstr>
      <vt:lpstr>Interpolation_SurfaceValues</vt:lpstr>
      <vt:lpstr>Interpolation_SurfaceX</vt:lpstr>
      <vt:lpstr>Interpolation_SurfaceY</vt:lpstr>
      <vt:lpstr>Interpolation_Times</vt:lpstr>
      <vt:lpstr>'Start Here'!Print_Area</vt:lpstr>
      <vt:lpstr>'1 Inputs'!Print_Titles</vt:lpstr>
      <vt:lpstr>'2 Interpolation'!Print_Titles</vt:lpstr>
      <vt:lpstr>'3 Schedules'!Print_Titles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Interpolation and schedules · see what changes</dc:title>
  <dc:creator/>
  <cp:lastModifiedBy/>
  <dcterms:created xsi:type="dcterms:W3CDTF">2026-01-01T00:00:00Z</dcterms:created>
  <dcterms:modified xsi:type="dcterms:W3CDTF">2026-01-01T00:00:00Z</dcterms:modified>
</cp:coreProperties>
</file>