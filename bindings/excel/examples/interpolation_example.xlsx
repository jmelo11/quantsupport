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README" sheetId="1" r:id="rId1"/>
    <sheet name="One Dimension" sheetId="2" r:id="rId2"/>
    <sheet name="Two Dimensions" sheetId="3" r:id="rId3"/>
    <sheet name="Schedules" sheetId="4" r:id="rId4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<sst xmlns="http://schemas.openxmlformats.org/spreadsheetml/2006/main" count="24" uniqueCount="24">
  <si>
    <t>Interpolation and schedules: nodes, methods, and worksheet layouts</t>
  </si>
  <si>
    <t>Load quantsupport.xll in 64-bit Windows Excel, then open this workbook and press Ctrl+Alt+F9.</t>
  </si>
  <si>
    <t>Blue cells are editable inputs. Rates and spreads are annual decimals; dates are ISO text.</t>
  </si>
  <si>
    <t>Compare linear, log-linear, and natural cubic-spline interpolation on a positive discount-factor grid.</t>
  </si>
  <si>
    <t>The two-dimensional example reproduces a surface with an x*y interaction at nodes and between them.</t>
  </si>
  <si>
    <t>Schedules compares unadjusted and TARGET-adjusted dates; lists can be transposed directly.</t>
  </si>
  <si>
    <t>These are illustrative assumptions, following the questions explored in the Python notebook studies.</t>
  </si>
  <si>
    <t>Table functions end with transpose,headers. Defaults are FALSE,TRUE; TRUE,FALSE transposes without headers.</t>
  </si>
  <si>
    <t>Time</t>
  </si>
  <si>
    <t>Discount factor</t>
  </si>
  <si>
    <t>Query</t>
  </si>
  <si>
    <t>Linear</t>
  </si>
  <si>
    <t>Log-linear</t>
  </si>
  <si>
    <t>Cubic spline</t>
  </si>
  <si>
    <t>x</t>
  </si>
  <si>
    <t>y</t>
  </si>
  <si>
    <t>2 + x + 3*y + x*y</t>
  </si>
  <si>
    <t>Query x</t>
  </si>
  <si>
    <t>Query y</t>
  </si>
  <si>
    <t>Native bilinear</t>
  </si>
  <si>
    <t>Analytic value</t>
  </si>
  <si>
    <t>Unadjusted quarterly dates</t>
  </si>
  <si>
    <t>Same dates transposed</t>
  </si>
  <si>
    <t>Following TARGET adjustment</t>
  </si>
</sst>
</file>

<file path=xl/styles.xml><?xml version="1.0" encoding="utf-8"?>
<styleSheet xmlns="http://schemas.openxmlformats.org/spreadsheetml/2006/main">
  <numFmts count="1">
    <numFmt numFmtId="164" formatCode="0.000000"/>
  </numFmts>
  <fonts count="4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307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70"/>
        <bgColor indexed="64"/>
      </patternFill>
    </fill>
    <fill>
      <patternFill patternType="solid">
        <fgColor rgb="FF2C5AA0"/>
        <bgColor indexed="64"/>
      </patternFill>
    </fill>
    <fill>
      <patternFill patternType="solid">
        <fgColor rgb="FFD6E4FC"/>
        <bgColor indexed="64"/>
      </patternFill>
    </fill>
    <fill>
      <patternFill patternType="solid">
        <fgColor rgb="FFCFD9E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0" borderId="0" xfId="0" applyNumberFormat="1" applyAlignment="1">
      <alignment vertical="top" wrapText="1"/>
    </xf>
    <xf numFmtId="0" fontId="3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5.7109375" style="1" customWidth="1"/>
    <col min="2" max="12" width="22.7109375" style="1" customWidth="1"/>
  </cols>
  <sheetData>
    <row r="1" spans="1:6" ht="28" customHeight="1">
      <c r="A1" s="2" t="s">
        <v>0</v>
      </c>
      <c r="B1" s="2"/>
      <c r="C1" s="2"/>
      <c r="D1" s="2"/>
      <c r="E1" s="2"/>
      <c r="F1" s="2"/>
    </row>
    <row r="4" spans="1:6" ht="34" customHeight="1">
      <c r="A4" s="1" t="s">
        <v>1</v>
      </c>
    </row>
    <row r="5" spans="1:6" ht="34" customHeight="1">
      <c r="A5" s="1" t="s">
        <v>2</v>
      </c>
    </row>
    <row r="6" spans="1:6" ht="34" customHeight="1">
      <c r="A6" s="1" t="s">
        <v>3</v>
      </c>
    </row>
    <row r="7" spans="1:6" ht="34" customHeight="1">
      <c r="A7" s="1" t="s">
        <v>4</v>
      </c>
    </row>
    <row r="8" spans="1:6" ht="34" customHeight="1">
      <c r="A8" s="1" t="s">
        <v>5</v>
      </c>
    </row>
    <row r="9" spans="1:6" ht="34" customHeight="1">
      <c r="A9" s="1" t="s">
        <v>6</v>
      </c>
    </row>
    <row r="10" spans="1:6" ht="34" customHeight="1">
      <c r="A10" s="1" t="s">
        <v>7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4:L11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4" spans="1:7">
      <c r="A4" s="3" t="s">
        <v>8</v>
      </c>
      <c r="B4" s="3" t="s">
        <v>9</v>
      </c>
      <c r="D4" s="3" t="s">
        <v>10</v>
      </c>
      <c r="E4" s="3" t="s">
        <v>11</v>
      </c>
      <c r="F4" s="3" t="s">
        <v>12</v>
      </c>
      <c r="G4" s="3" t="s">
        <v>13</v>
      </c>
    </row>
    <row r="5" spans="1:7">
      <c r="A5" s="4">
        <v>0</v>
      </c>
      <c r="B5" s="4">
        <v>1</v>
      </c>
      <c r="D5" s="4">
        <v>0</v>
      </c>
      <c r="E5" s="5" cm="1">
        <f t="array" ref="E5">_xll.QS.INTERPOLATE.LINEAR(D5,$A$5:$A$9,$B$5:$B$9,FALSE)</f>
        <v>0</v>
      </c>
      <c r="F5" s="5" cm="1">
        <f t="array" ref="F5">_xll.QS.INTERPOLATE.LOG.LINEAR(D5,$A$5:$A$9,$B$5:$B$9,FALSE)</f>
        <v>0</v>
      </c>
      <c r="G5" s="5" cm="1">
        <f t="array" ref="G5">_xll.QS.INTERPOLATE.CUBIC.SPLINE(D5,$A$5:$A$9,$B$5:$B$9,FALSE)</f>
        <v>0</v>
      </c>
    </row>
    <row r="6" spans="1:7">
      <c r="A6" s="4">
        <v>1</v>
      </c>
      <c r="B6" s="4">
        <v>0.97</v>
      </c>
      <c r="D6" s="4">
        <v>0.5</v>
      </c>
      <c r="E6" s="5" cm="1">
        <f t="array" ref="E6">_xll.QS.INTERPOLATE.LINEAR(D6,$A$5:$A$9,$B$5:$B$9,FALSE)</f>
        <v>0</v>
      </c>
      <c r="F6" s="5" cm="1">
        <f t="array" ref="F6">_xll.QS.INTERPOLATE.LOG.LINEAR(D6,$A$5:$A$9,$B$5:$B$9,FALSE)</f>
        <v>0</v>
      </c>
      <c r="G6" s="5" cm="1">
        <f t="array" ref="G6">_xll.QS.INTERPOLATE.CUBIC.SPLINE(D6,$A$5:$A$9,$B$5:$B$9,FALSE)</f>
        <v>0</v>
      </c>
    </row>
    <row r="7" spans="1:7">
      <c r="A7" s="4">
        <v>3</v>
      </c>
      <c r="B7" s="4">
        <v>0.91</v>
      </c>
      <c r="D7" s="4">
        <v>1</v>
      </c>
      <c r="E7" s="5" cm="1">
        <f t="array" ref="E7">_xll.QS.INTERPOLATE.LINEAR(D7,$A$5:$A$9,$B$5:$B$9,FALSE)</f>
        <v>0</v>
      </c>
      <c r="F7" s="5" cm="1">
        <f t="array" ref="F7">_xll.QS.INTERPOLATE.LOG.LINEAR(D7,$A$5:$A$9,$B$5:$B$9,FALSE)</f>
        <v>0</v>
      </c>
      <c r="G7" s="5" cm="1">
        <f t="array" ref="G7">_xll.QS.INTERPOLATE.CUBIC.SPLINE(D7,$A$5:$A$9,$B$5:$B$9,FALSE)</f>
        <v>0</v>
      </c>
    </row>
    <row r="8" spans="1:7">
      <c r="A8" s="4">
        <v>5</v>
      </c>
      <c r="B8" s="4">
        <v>0.85</v>
      </c>
      <c r="D8" s="4">
        <v>2</v>
      </c>
      <c r="E8" s="5" cm="1">
        <f t="array" ref="E8">_xll.QS.INTERPOLATE.LINEAR(D8,$A$5:$A$9,$B$5:$B$9,FALSE)</f>
        <v>0</v>
      </c>
      <c r="F8" s="5" cm="1">
        <f t="array" ref="F8">_xll.QS.INTERPOLATE.LOG.LINEAR(D8,$A$5:$A$9,$B$5:$B$9,FALSE)</f>
        <v>0</v>
      </c>
      <c r="G8" s="5" cm="1">
        <f t="array" ref="G8">_xll.QS.INTERPOLATE.CUBIC.SPLINE(D8,$A$5:$A$9,$B$5:$B$9,FALSE)</f>
        <v>0</v>
      </c>
    </row>
    <row r="9" spans="1:7">
      <c r="A9" s="4">
        <v>10</v>
      </c>
      <c r="B9" s="4">
        <v>0.7</v>
      </c>
      <c r="D9" s="4">
        <v>4</v>
      </c>
      <c r="E9" s="5" cm="1">
        <f t="array" ref="E9">_xll.QS.INTERPOLATE.LINEAR(D9,$A$5:$A$9,$B$5:$B$9,FALSE)</f>
        <v>0</v>
      </c>
      <c r="F9" s="5" cm="1">
        <f t="array" ref="F9">_xll.QS.INTERPOLATE.LOG.LINEAR(D9,$A$5:$A$9,$B$5:$B$9,FALSE)</f>
        <v>0</v>
      </c>
      <c r="G9" s="5" cm="1">
        <f t="array" ref="G9">_xll.QS.INTERPOLATE.CUBIC.SPLINE(D9,$A$5:$A$9,$B$5:$B$9,FALSE)</f>
        <v>0</v>
      </c>
    </row>
    <row r="10" spans="1:7">
      <c r="D10" s="4">
        <v>7</v>
      </c>
      <c r="E10" s="5" cm="1">
        <f t="array" ref="E10">_xll.QS.INTERPOLATE.LINEAR(D10,$A$5:$A$9,$B$5:$B$9,FALSE)</f>
        <v>0</v>
      </c>
      <c r="F10" s="5" cm="1">
        <f t="array" ref="F10">_xll.QS.INTERPOLATE.LOG.LINEAR(D10,$A$5:$A$9,$B$5:$B$9,FALSE)</f>
        <v>0</v>
      </c>
      <c r="G10" s="5" cm="1">
        <f t="array" ref="G10">_xll.QS.INTERPOLATE.CUBIC.SPLINE(D10,$A$5:$A$9,$B$5:$B$9,FALSE)</f>
        <v>0</v>
      </c>
    </row>
    <row r="11" spans="1:7">
      <c r="D11" s="4">
        <v>10</v>
      </c>
      <c r="E11" s="5" cm="1">
        <f t="array" ref="E11">_xll.QS.INTERPOLATE.LINEAR(D11,$A$5:$A$9,$B$5:$B$9,FALSE)</f>
        <v>0</v>
      </c>
      <c r="F11" s="5" cm="1">
        <f t="array" ref="F11">_xll.QS.INTERPOLATE.LOG.LINEAR(D11,$A$5:$A$9,$B$5:$B$9,FALSE)</f>
        <v>0</v>
      </c>
      <c r="G11" s="5" cm="1">
        <f t="array" ref="G11">_xll.QS.INTERPOLATE.CUBIC.SPLINE(D11,$A$5:$A$9,$B$5:$B$9,FALSE)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4:L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4" spans="1:8">
      <c r="A4" s="3" t="s">
        <v>14</v>
      </c>
      <c r="B4" s="3" t="s">
        <v>15</v>
      </c>
      <c r="C4" s="3" t="s">
        <v>16</v>
      </c>
      <c r="E4" s="1" t="s">
        <v>17</v>
      </c>
      <c r="F4" s="1" t="s">
        <v>18</v>
      </c>
      <c r="G4" s="1" t="s">
        <v>19</v>
      </c>
      <c r="H4" s="1" t="s">
        <v>20</v>
      </c>
    </row>
    <row r="5" spans="1:8">
      <c r="A5" s="4">
        <v>0</v>
      </c>
      <c r="B5" s="4">
        <v>0</v>
      </c>
      <c r="C5" s="1">
        <f>2+A5+3*B5+A5*B5</f>
        <v>0</v>
      </c>
      <c r="E5" s="4">
        <v>0.4</v>
      </c>
      <c r="F5" s="4">
        <v>0.7</v>
      </c>
      <c r="G5" s="1" cm="1">
        <f t="array" ref="G5">_xll.QS.INTERPOLATE.BILINEAR(E5,F5,A5:A8,B5:B8,C5:C8,"Reject")</f>
        <v>0</v>
      </c>
      <c r="H5" s="1">
        <f>2+E5+3*F5+E5*F5</f>
        <v>0</v>
      </c>
    </row>
    <row r="6" spans="1:8">
      <c r="A6" s="4">
        <v>0</v>
      </c>
      <c r="B6" s="4">
        <v>2</v>
      </c>
      <c r="C6" s="1">
        <f>2+A6+3*B6+A6*B6</f>
        <v>0</v>
      </c>
    </row>
    <row r="7" spans="1:8">
      <c r="A7" s="4">
        <v>1</v>
      </c>
      <c r="B7" s="4">
        <v>0</v>
      </c>
      <c r="C7" s="1">
        <f>2+A7+3*B7+A7*B7</f>
        <v>0</v>
      </c>
    </row>
    <row r="8" spans="1:8">
      <c r="A8" s="4">
        <v>1</v>
      </c>
      <c r="B8" s="4">
        <v>2</v>
      </c>
      <c r="C8" s="1">
        <f>2+A8+3*B8+A8*B8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2" width="22.7109375" style="1" customWidth="1"/>
  </cols>
  <sheetData>
    <row r="2" spans="1:3">
      <c r="A2" s="6" t="s">
        <v>21</v>
      </c>
      <c r="C2" s="6" t="s">
        <v>22</v>
      </c>
    </row>
    <row r="4" spans="1:3">
      <c r="A4" s="1" cm="1">
        <f t="array" ref="A4">_xll.QS.SCHEDULE("2026-02-24","2027-02-24","Quarterly")</f>
        <v>0</v>
      </c>
      <c r="C4" s="1" cm="1">
        <f t="array" ref="C4">_xll.QS.SCHEDULE("2026-02-24","2027-02-24","Quarterly",TRUE)</f>
        <v>0</v>
      </c>
    </row>
    <row r="8" spans="1:3">
      <c r="C8" s="6" t="s">
        <v>23</v>
      </c>
    </row>
    <row r="10" spans="1:3">
      <c r="C10" s="1" cm="1">
        <f t="array" ref="C10">_xll.QS.SCHEDULE.ADJUSTED("2026-02-28","2027-02-28","Quarterly","TARGET","Following",TRUE)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One Dimension</vt:lpstr>
      <vt:lpstr>Two Dimensions</vt:lpstr>
      <vt:lpstr>Schedules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QuantSupport Excel examples</dc:title>
  <dc:creator/>
  <cp:lastModifiedBy/>
  <dcterms:created xsi:type="dcterms:W3CDTF">2026-01-01T00:00:00Z</dcterms:created>
  <dcterms:modified xsi:type="dcterms:W3CDTF">2026-01-01T00:00:00Z</dcterms:modified>
</cp:coreProperties>
</file>