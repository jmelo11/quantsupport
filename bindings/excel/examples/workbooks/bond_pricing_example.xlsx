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018bc907cdb526/Escritorio/Pega/quantsupport/bindings/excel/examples/workbooks/"/>
    </mc:Choice>
  </mc:AlternateContent>
  <xr:revisionPtr revIDLastSave="2" documentId="11_315D2BFE280CEF1796A1F0088F2236289BE1A375" xr6:coauthVersionLast="47" xr6:coauthVersionMax="47" xr10:uidLastSave="{240D7125-1DB9-499E-A07C-517DADC7E1FB}"/>
  <bookViews>
    <workbookView xWindow="-120" yWindow="-120" windowWidth="29040" windowHeight="15720" activeTab="5" xr2:uid="{00000000-000D-0000-FFFF-FFFF00000000}"/>
  </bookViews>
  <sheets>
    <sheet name="Start Here" sheetId="1" r:id="rId1"/>
    <sheet name="1 Inputs" sheetId="2" r:id="rId2"/>
    <sheet name="2 Market" sheetId="3" r:id="rId3"/>
    <sheet name="3 Build" sheetId="4" r:id="rId4"/>
    <sheet name="4 Results" sheetId="5" r:id="rId5"/>
    <sheet name="5 Cashflows" sheetId="6" r:id="rId6"/>
    <sheet name="6 Risk" sheetId="7" r:id="rId7"/>
  </sheets>
  <definedNames>
    <definedName name="_xlnm.Print_Area" localSheetId="0">'Start Here'!$A$1:$F$29</definedName>
    <definedName name="Bond_BaseCurves">'2 Market'!$B$21</definedName>
    <definedName name="Bond_C01_Anchor">'1 Inputs'!$B$17</definedName>
    <definedName name="Bond_C01_AnchorValue">'1 Inputs'!$C$17</definedName>
    <definedName name="Bond_C01_Duration">'4 Results'!$C$7</definedName>
    <definedName name="Bond_C01_PV">'4 Results'!$B$7</definedName>
    <definedName name="Bond_C01_Result">'3 Build'!$B$22</definedName>
    <definedName name="Bond_C01_Trade">'3 Build'!$B$19</definedName>
    <definedName name="Bond_C01_ZSpread">'4 Results'!$D$7</definedName>
    <definedName name="Bond_C02_Anchor">'1 Inputs'!$B$18</definedName>
    <definedName name="Bond_C02_AnchorValue">'1 Inputs'!$C$18</definedName>
    <definedName name="Bond_C02_Duration">'4 Results'!$C$8</definedName>
    <definedName name="Bond_C02_PV">'4 Results'!$B$8</definedName>
    <definedName name="Bond_C02_Result">'3 Build'!$B$28</definedName>
    <definedName name="Bond_C02_Trade">'3 Build'!$B$25</definedName>
    <definedName name="Bond_C02_ZSpread">'4 Results'!$D$8</definedName>
    <definedName name="Bond_C03_Anchor">'1 Inputs'!$B$19</definedName>
    <definedName name="Bond_C03_AnchorValue">'1 Inputs'!$C$19</definedName>
    <definedName name="Bond_C03_Duration">'4 Results'!$C$9</definedName>
    <definedName name="Bond_C03_PV">'4 Results'!$B$9</definedName>
    <definedName name="Bond_C03_Result">'3 Build'!$B$34</definedName>
    <definedName name="Bond_C03_Trade">'3 Build'!$B$31</definedName>
    <definedName name="Bond_C03_ZSpread">'4 Results'!$D$9</definedName>
    <definedName name="Bond_CaseNames">'4 Results'!$A$7:$A$9</definedName>
    <definedName name="Bond_Context">'3 Build'!$B$7</definedName>
    <definedName name="Bond_Coupon">'1 Inputs'!$B$11</definedName>
    <definedName name="Bond_DiscountCurrency">'1 Inputs'!$A$31</definedName>
    <definedName name="Bond_DiscountIndex">'1 Inputs'!$B$31</definedName>
    <definedName name="Bond_DiscountMapping">'1 Inputs'!$A$31:$B$31</definedName>
    <definedName name="Bond_Instrument">'3 Build'!$B$10</definedName>
    <definedName name="Bond_MarketInputs">'2 Market'!$B$21:$B$23</definedName>
    <definedName name="Bond_Maturity">'1 Inputs'!$B$9</definedName>
    <definedName name="Bond_Notional">'1 Inputs'!$B$10</definedName>
    <definedName name="Bond_Pillars">'2 Market'!$A$7:$A$11</definedName>
    <definedName name="Bond_Policy">'3 Build'!$B$13</definedName>
    <definedName name="Bond_Pricer">'3 Build'!$B$16</definedName>
    <definedName name="Bond_Requests">'1 Inputs'!$A$23:$A$27</definedName>
    <definedName name="Bond_ResultHandles">'3 Build'!$B$40:$B$42</definedName>
    <definedName name="Bond_Root">'2 Market'!$B$18</definedName>
    <definedName name="Bond_SelectedCase">'4 Results'!$B$13</definedName>
    <definedName name="Bond_SelectedResult">'3 Build'!$B$45</definedName>
    <definedName name="Bond_Side">'1 Inputs'!$B$12</definedName>
    <definedName name="Bond_Start">'1 Inputs'!$B$8</definedName>
    <definedName name="Bond_ValuationDate">'1 Inputs'!$B$7</definedName>
    <definedName name="Bond_ZeroRates">'2 Market'!$B$7:$B$11</definedName>
    <definedName name="_xlnm.Print_Titles" localSheetId="1">'1 Inputs'!$1:$6</definedName>
    <definedName name="_xlnm.Print_Titles" localSheetId="2">'2 Market'!$1:$6</definedName>
    <definedName name="_xlnm.Print_Titles" localSheetId="3">'3 Build'!$1:$6</definedName>
    <definedName name="_xlnm.Print_Titles" localSheetId="4">'4 Results'!$1:$6</definedName>
    <definedName name="_xlnm.Print_Titles" localSheetId="5">'5 Cashflows'!$1:$7</definedName>
    <definedName name="_xlnm.Print_Titles" localSheetId="6">'6 Risk'!$1:$7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7" l="1"/>
  <c r="B6" i="6"/>
  <c r="A46" i="4"/>
  <c r="A35" i="4"/>
  <c r="A32" i="4"/>
  <c r="A29" i="4"/>
  <c r="A26" i="4"/>
  <c r="A23" i="4"/>
  <c r="A20" i="4"/>
  <c r="A17" i="4"/>
  <c r="A14" i="4"/>
  <c r="B13" i="4" a="1"/>
  <c r="B16" i="4" s="1" a="1"/>
  <c r="A11" i="4"/>
  <c r="B10" i="4" a="1"/>
  <c r="A8" i="4"/>
  <c r="A22" i="3"/>
  <c r="A19" i="3"/>
  <c r="B18" i="3" a="1"/>
  <c r="B31" i="4" l="1" a="1"/>
  <c r="B25" i="4" a="1"/>
  <c r="B19" i="4" a="1"/>
  <c r="B21" i="3" a="1"/>
  <c r="B7" i="4" a="1"/>
  <c r="B22" i="4" l="1" a="1"/>
  <c r="B28" i="4" a="1"/>
  <c r="B34" i="4" a="1"/>
  <c r="D7" i="5" l="1" a="1"/>
  <c r="C7" i="5" a="1"/>
  <c r="B7" i="5" a="1"/>
  <c r="B41" i="4"/>
  <c r="D8" i="5" a="1"/>
  <c r="C8" i="5" a="1"/>
  <c r="B8" i="5" a="1"/>
  <c r="B42" i="4"/>
  <c r="D9" i="5" a="1"/>
  <c r="C9" i="5" a="1"/>
  <c r="B9" i="5" a="1"/>
  <c r="B40" i="4"/>
  <c r="B45" i="4" s="1"/>
  <c r="A7" i="6" l="1" a="1"/>
  <c r="A7" i="7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>Market and execution date.</t>
        </r>
      </text>
    </comment>
    <comment ref="B8" authorId="0" shapeId="0" xr:uid="{00000000-0006-0000-0100-000002000000}">
      <text>
        <r>
          <rPr>
            <sz val="8"/>
            <color indexed="81"/>
            <rFont val="Tahoma"/>
            <family val="2"/>
          </rPr>
          <t>Contractual start date.</t>
        </r>
      </text>
    </comment>
    <comment ref="B9" authorId="0" shapeId="0" xr:uid="{00000000-0006-0000-0100-000003000000}">
      <text>
        <r>
          <rPr>
            <sz val="8"/>
            <color indexed="81"/>
            <rFont val="Tahoma"/>
            <family val="2"/>
          </rPr>
          <t>Final contractual principal repayment.</t>
        </r>
      </text>
    </comment>
    <comment ref="B10" authorId="0" shapeId="0" xr:uid="{00000000-0006-0000-0100-000004000000}">
      <text>
        <r>
          <rPr>
            <sz val="8"/>
            <color indexed="81"/>
            <rFont val="Tahoma"/>
            <family val="2"/>
          </rPr>
          <t>Principal used to construct the instrument's cashflows.</t>
        </r>
      </text>
    </comment>
    <comment ref="B11" authorId="0" shapeId="0" xr:uid="{00000000-0006-0000-0100-000005000000}">
      <text>
        <r>
          <rPr>
            <sz val="8"/>
            <color indexed="81"/>
            <rFont val="Tahoma"/>
            <family val="2"/>
          </rPr>
          <t>Annual decimal coupon.</t>
        </r>
      </text>
    </comment>
    <comment ref="B12" authorId="0" shapeId="0" xr:uid="{00000000-0006-0000-0100-000006000000}">
      <text>
        <r>
          <rPr>
            <sz val="8"/>
            <color indexed="81"/>
            <rFont val="Tahoma"/>
            <family val="2"/>
          </rPr>
          <t>Receive holds the bond; Pay reverses the position.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8" authorId="0" shapeId="0" xr:uid="{00000000-0006-0000-0200-000001000000}">
      <text>
        <r>
          <rPr>
            <sz val="8"/>
            <color indexed="81"/>
            <rFont val="Tahoma"/>
            <family val="2"/>
          </rPr>
          <t>Owns the market stores and date.</t>
        </r>
      </text>
    </comment>
    <comment ref="B21" authorId="0" shapeId="0" xr:uid="{00000000-0006-0000-0200-000002000000}">
      <text>
        <r>
          <rPr>
            <sz val="8"/>
            <color indexed="81"/>
            <rFont val="Tahoma"/>
            <family val="2"/>
          </rPr>
          <t>Every addition references the same root; fields are separate arrays.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300-000001000000}">
      <text>
        <r>
          <rPr>
            <sz val="8"/>
            <color indexed="81"/>
            <rFont val="Tahoma"/>
            <family val="2"/>
          </rPr>
          <t>Constructs the visible SOFR zero curve.</t>
        </r>
      </text>
    </comment>
    <comment ref="B10" authorId="0" shapeId="0" xr:uid="{00000000-0006-0000-0300-000002000000}">
      <text>
        <r>
          <rPr>
            <sz val="8"/>
            <color indexed="81"/>
            <rFont val="Tahoma"/>
            <family val="2"/>
          </rPr>
          <t>No position side or pricing anchor is stored in this contract.</t>
        </r>
      </text>
    </comment>
    <comment ref="B13" authorId="0" shapeId="0" xr:uid="{00000000-0006-0000-0300-000003000000}">
      <text>
        <r>
          <rPr>
            <sz val="8"/>
            <color indexed="81"/>
            <rFont val="Tahoma"/>
            <family val="2"/>
          </rPr>
          <t>Maps USD to the ordinary SOFR curve.</t>
        </r>
      </text>
    </comment>
    <comment ref="B16" authorId="0" shapeId="0" xr:uid="{00000000-0006-0000-0300-000004000000}">
      <text>
        <r>
          <rPr>
            <sz val="8"/>
            <color indexed="81"/>
            <rFont val="Tahoma"/>
            <family val="2"/>
          </rPr>
          <t>The same configured pricer evaluates all three positions.</t>
        </r>
      </text>
    </comment>
    <comment ref="B19" authorId="0" shapeId="0" xr:uid="{00000000-0006-0000-0300-000005000000}">
      <text>
        <r>
          <rPr>
            <sz val="8"/>
            <color indexed="81"/>
            <rFont val="Tahoma"/>
            <family val="2"/>
          </rPr>
          <t>The trade supplies the bond's price or spread anchor.</t>
        </r>
      </text>
    </comment>
    <comment ref="B22" authorId="0" shapeId="0" xr:uid="{00000000-0006-0000-0300-000006000000}">
      <text>
        <r>
          <rPr>
            <sz val="8"/>
            <color indexed="81"/>
            <rFont val="Tahoma"/>
            <family val="2"/>
          </rPr>
          <t>Produces the measures listed on Inputs.</t>
        </r>
      </text>
    </comment>
    <comment ref="B25" authorId="0" shapeId="0" xr:uid="{00000000-0006-0000-0300-000007000000}">
      <text>
        <r>
          <rPr>
            <sz val="8"/>
            <color indexed="81"/>
            <rFont val="Tahoma"/>
            <family val="2"/>
          </rPr>
          <t>The trade supplies the bond's price or spread anchor.</t>
        </r>
      </text>
    </comment>
    <comment ref="B28" authorId="0" shapeId="0" xr:uid="{00000000-0006-0000-0300-000008000000}">
      <text>
        <r>
          <rPr>
            <sz val="8"/>
            <color indexed="81"/>
            <rFont val="Tahoma"/>
            <family val="2"/>
          </rPr>
          <t>Produces the measures listed on Inputs.</t>
        </r>
      </text>
    </comment>
    <comment ref="B31" authorId="0" shapeId="0" xr:uid="{00000000-0006-0000-0300-000009000000}">
      <text>
        <r>
          <rPr>
            <sz val="8"/>
            <color indexed="81"/>
            <rFont val="Tahoma"/>
            <family val="2"/>
          </rPr>
          <t>The trade supplies the bond's price or spread anchor.</t>
        </r>
      </text>
    </comment>
    <comment ref="B34" authorId="0" shapeId="0" xr:uid="{00000000-0006-0000-0300-00000A000000}">
      <text>
        <r>
          <rPr>
            <sz val="8"/>
            <color indexed="81"/>
            <rFont val="Tahoma"/>
            <family val="2"/>
          </rPr>
          <t>Produces the measures listed on Inputs.</t>
        </r>
      </text>
    </comment>
    <comment ref="B45" authorId="0" shapeId="0" xr:uid="{00000000-0006-0000-0300-00000B000000}">
      <text>
        <r>
          <rPr>
            <sz val="8"/>
            <color indexed="81"/>
            <rFont val="Tahoma"/>
            <family val="2"/>
          </rPr>
          <t>The dropdown on Results chooses an existing evaluation result.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<sst xmlns="http://schemas.openxmlformats.org/spreadsheetml/2006/main" count="169" uniqueCount="142">
  <si>
    <t>Bond anchors · contract, trade and value</t>
  </si>
  <si>
    <t>Use one fixed bond to compare spread and price anchors. Pricing anchors belong to trades; the discount policy belongs to the pricer.</t>
  </si>
  <si>
    <t>Before you start: load quantsupport.xll in 64-bit Windows Excel, then press Ctrl+Alt+F9. Results are blank until Excel calculates. Dates are ISO text; enter 4% as 0.04.</t>
  </si>
  <si>
    <t>Follow the numbered tabs from left to right</t>
  </si>
  <si>
    <t>1</t>
  </si>
  <si>
    <t>1 Inputs</t>
  </si>
  <si>
    <t>Set one contract and three alternative bond anchors.</t>
  </si>
  <si>
    <t>2</t>
  </si>
  <si>
    <t>2 Market</t>
  </si>
  <si>
    <t>Review and build the SOFR zero curve.</t>
  </si>
  <si>
    <t>3</t>
  </si>
  <si>
    <t>3 Build</t>
  </si>
  <si>
    <t>Create one instrument, then separately anchored trades and results.</t>
  </si>
  <si>
    <t>4</t>
  </si>
  <si>
    <t>4 Results</t>
  </si>
  <si>
    <t>Compare PV, duration and Z-spread; choose a detail case.</t>
  </si>
  <si>
    <t>5</t>
  </si>
  <si>
    <t>5 Cashflows</t>
  </si>
  <si>
    <t>Inspect the selected anchored position.</t>
  </si>
  <si>
    <t>6</t>
  </si>
  <si>
    <t>6 Risk</t>
  </si>
  <si>
    <t>Inspect curve and spread derivatives for the same position.</t>
  </si>
  <si>
    <t>Cell colours</t>
  </si>
  <si>
    <t>Blue · edit</t>
  </si>
  <si>
    <t>Assumptions and choices you can change.</t>
  </si>
  <si>
    <t>Green · read</t>
  </si>
  <si>
    <t>Financial results calculated by the add-in.</t>
  </si>
  <si>
    <t>Grey · build</t>
  </si>
  <si>
    <t>Object references on the Build tab. Each step shows its Excel formula below.</t>
  </si>
  <si>
    <t>Try this first</t>
  </si>
  <si>
    <t>1. Compare Zero spread and 100 bp spread on Results.</t>
  </si>
  <si>
    <t>2. Change the clean-price anchor on Inputs and inspect the solved Z-spread.</t>
  </si>
  <si>
    <t>3. Choose a case on Results, then inspect its cashflows and risk.</t>
  </si>
  <si>
    <t>Use Ctrl+A after a function name for parameter help. Inline hints use the optional Excel-DNA IntelliSense companion. The example assumptions are illustrative; tables and results use the native Rust pricers.</t>
  </si>
  <si>
    <t>Contract and position inputs</t>
  </si>
  <si>
    <t>Blue cells are editable. Clean/dirty price anchors are per 100 face; spread anchors are annual decimals.</t>
  </si>
  <si>
    <t>← Start Here</t>
  </si>
  <si>
    <t>Next → 2 Market</t>
  </si>
  <si>
    <t>Parameter</t>
  </si>
  <si>
    <t>Value</t>
  </si>
  <si>
    <t>Meaning</t>
  </si>
  <si>
    <t>Valuation date</t>
  </si>
  <si>
    <t>2026-02-24</t>
  </si>
  <si>
    <t>Market and execution date.</t>
  </si>
  <si>
    <t>Start date</t>
  </si>
  <si>
    <t>Contractual start date.</t>
  </si>
  <si>
    <t>Maturity date</t>
  </si>
  <si>
    <t>2036-02-24</t>
  </si>
  <si>
    <t>Final contractual principal repayment.</t>
  </si>
  <si>
    <t>Face principal (USD)</t>
  </si>
  <si>
    <t>Principal used to construct the instrument's cashflows.</t>
  </si>
  <si>
    <t>Fixed coupon</t>
  </si>
  <si>
    <t>Annual decimal coupon.</t>
  </si>
  <si>
    <t>Position side</t>
  </si>
  <si>
    <t>Receive</t>
  </si>
  <si>
    <t>Receive holds the bond; Pay reverses the position.</t>
  </si>
  <si>
    <t>Anchor case</t>
  </si>
  <si>
    <t>Native anchor type</t>
  </si>
  <si>
    <t>Anchor value</t>
  </si>
  <si>
    <t>Zero spread</t>
  </si>
  <si>
    <t>ZSpread</t>
  </si>
  <si>
    <t>100 bp spread</t>
  </si>
  <si>
    <t>Clean price 100</t>
  </si>
  <si>
    <t>CleanPrice</t>
  </si>
  <si>
    <t>Requested measure</t>
  </si>
  <si>
    <t>What the result contains</t>
  </si>
  <si>
    <t>Monetary present value</t>
  </si>
  <si>
    <t>ModifiedDuration</t>
  </si>
  <si>
    <t>Yield-modified duration in years</t>
  </si>
  <si>
    <t>Annual decimal spread implied by the bond anchor</t>
  </si>
  <si>
    <t>Cashflows</t>
  </si>
  <si>
    <t>Resolved payments and receipts</t>
  </si>
  <si>
    <t>Sensitivities</t>
  </si>
  <si>
    <t>Raw derivatives per unit market input</t>
  </si>
  <si>
    <t>Policy currency</t>
  </si>
  <si>
    <t>Ordinary discount index</t>
  </si>
  <si>
    <t>USD</t>
  </si>
  <si>
    <t>SOFR</t>
  </si>
  <si>
    <t>Market assumptions and curve construction</t>
  </si>
  <si>
    <t>Edit the blue rates. The steps below the input tables construct ordinary curves from those cells.</t>
  </si>
  <si>
    <t>Next → 3 Build</t>
  </si>
  <si>
    <t>Pillar</t>
  </si>
  <si>
    <t>Continuous zero rate</t>
  </si>
  <si>
    <t>0D</t>
  </si>
  <si>
    <t>5Y</t>
  </si>
  <si>
    <t>10Y</t>
  </si>
  <si>
    <t>30Y</t>
  </si>
  <si>
    <t>35Y</t>
  </si>
  <si>
    <t>Illustrative continuous zero rates on Actual360, linearly interpolated with extrapolation enabled. Changing a pillar rebuilds the context and dependent prices.</t>
  </si>
  <si>
    <t>Construction step</t>
  </si>
  <si>
    <t>Object reference</t>
  </si>
  <si>
    <t>Why it is needed</t>
  </si>
  <si>
    <t>1. Create root context</t>
  </si>
  <si>
    <t>Owns the market stores and date.</t>
  </si>
  <si>
    <t>Add SOFR</t>
  </si>
  <si>
    <t>Every addition references the same root; fields are separate arrays.</t>
  </si>
  <si>
    <t>Build one contract and three positions</t>
  </si>
  <si>
    <t>The shared instrument is created once. Each trade adds its own anchor, and the explicit BondPricer evaluates each position.</t>
  </si>
  <si>
    <t>Next → 4 Results</t>
  </si>
  <si>
    <t>Step</t>
  </si>
  <si>
    <t>Purpose</t>
  </si>
  <si>
    <t>1. Initialize market context</t>
  </si>
  <si>
    <t>Constructs the visible SOFR zero curve.</t>
  </si>
  <si>
    <t>2. Define the bond instrument</t>
  </si>
  <si>
    <t>No position side or pricing anchor is stored in this contract.</t>
  </si>
  <si>
    <t>3. Choose discount policy</t>
  </si>
  <si>
    <t>Maps USD to the ordinary SOFR curve.</t>
  </si>
  <si>
    <t>4. Create native bond pricer</t>
  </si>
  <si>
    <t>The same configured pricer evaluates all three positions.</t>
  </si>
  <si>
    <t>5.1 Position · Zero spread</t>
  </si>
  <si>
    <t>The trade supplies the bond's price or spread anchor.</t>
  </si>
  <si>
    <t>6.1 Evaluate · Zero spread</t>
  </si>
  <si>
    <t>Produces the measures listed on Inputs.</t>
  </si>
  <si>
    <t>5.2 Position · 100 bp spread</t>
  </si>
  <si>
    <t>6.2 Evaluate · 100 bp spread</t>
  </si>
  <si>
    <t>5.3 Position · Clean price 100</t>
  </si>
  <si>
    <t>6.3 Evaluate · Clean price 100</t>
  </si>
  <si>
    <t>Compare the anchored bond positions</t>
  </si>
  <si>
    <t>PV is monetary USD value. Duration is measured in years. Z-spread is an annual decimal spread; the same contract is used in all cases.</t>
  </si>
  <si>
    <t>Next → 5 Cashflows</t>
  </si>
  <si>
    <t>Case</t>
  </si>
  <si>
    <t>PV (USD)</t>
  </si>
  <si>
    <t>Modified duration</t>
  </si>
  <si>
    <t>Z-spread</t>
  </si>
  <si>
    <t>Edit anchor</t>
  </si>
  <si>
    <t>Read build</t>
  </si>
  <si>
    <t>Edit →</t>
  </si>
  <si>
    <t>Build →</t>
  </si>
  <si>
    <t>Case lookup for detail sheets</t>
  </si>
  <si>
    <t>Evaluation result</t>
  </si>
  <si>
    <t>Inspect one case</t>
  </si>
  <si>
    <t>Choose a case, then open Cashflows or Risk. Both detail sheets follow this selection.</t>
  </si>
  <si>
    <t>Selected case for detail sheets</t>
  </si>
  <si>
    <t>The dropdown on Results chooses an existing evaluation result.</t>
  </si>
  <si>
    <t>A clean-price anchor fixes the quoted price and solves a consistent spread. A Z-spread anchor fixes that spread and produces a monetary PV. Neither quotation is a replacement for position sizing or direction.</t>
  </si>
  <si>
    <t>Selected bond · cashflows</t>
  </si>
  <si>
    <t>Signed, undiscounted receipts and payments in each row's currency. Loan legs 0 / 1 / 2 are scheduled receipts / prepayment / recovery.</t>
  </si>
  <si>
    <t>Next → 6 Risk</t>
  </si>
  <si>
    <t>Selected case</t>
  </si>
  <si>
    <t>Change case →</t>
  </si>
  <si>
    <t>Selected bond · curve and spread risk</t>
  </si>
  <si>
    <t>Raw value derivatives per unit input. Multiply a decimal-rate derivative by 0.0001 to estimate a +1 bp move. Preserve each factor's units.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</si>
</sst>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(#,##0.00\)"/>
    <numFmt numFmtId="165" formatCode="0.0000"/>
    <numFmt numFmtId="166" formatCode="0.0000%"/>
  </numFmts>
  <fonts count="12" x14ac:knownFonts="1">
    <font>
      <sz val="11"/>
      <color theme="1"/>
      <name val="Calibri"/>
      <family val="2"/>
      <scheme val="minor"/>
    </font>
    <font>
      <sz val="11"/>
      <color rgb="FF273B4A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526779"/>
      <name val="Calibri"/>
      <family val="2"/>
      <scheme val="minor"/>
    </font>
    <font>
      <b/>
      <sz val="12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26B9A"/>
      <name val="Calibri"/>
      <family val="2"/>
      <scheme val="minor"/>
    </font>
    <font>
      <sz val="10"/>
      <color rgb="FF526779"/>
      <name val="Calibri"/>
      <family val="2"/>
      <scheme val="minor"/>
    </font>
    <font>
      <sz val="11"/>
      <color rgb="FF174EA6"/>
      <name val="Calibri"/>
      <family val="2"/>
      <scheme val="minor"/>
    </font>
    <font>
      <sz val="11"/>
      <color rgb="FF145C43"/>
      <name val="Calibri"/>
      <family val="2"/>
      <scheme val="minor"/>
    </font>
    <font>
      <sz val="9"/>
      <color rgb="FF526779"/>
      <name val="Consolas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5EDF2"/>
        <bgColor indexed="64"/>
      </patternFill>
    </fill>
    <fill>
      <patternFill patternType="solid">
        <fgColor rgb="FF176B75"/>
        <bgColor indexed="64"/>
      </patternFill>
    </fill>
    <fill>
      <patternFill patternType="solid">
        <fgColor rgb="FFE8F1FC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BDBEE"/>
      </left>
      <right style="thin">
        <color rgb="FFCBDBEE"/>
      </right>
      <top style="thin">
        <color rgb="FFCBDBEE"/>
      </top>
      <bottom style="thin">
        <color rgb="FFCBDBE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4" fontId="8" fillId="5" borderId="2" xfId="0" applyNumberFormat="1" applyFont="1" applyFill="1" applyBorder="1" applyAlignment="1">
      <alignment vertical="center" wrapText="1"/>
    </xf>
    <xf numFmtId="10" fontId="8" fillId="5" borderId="2" xfId="0" applyNumberFormat="1" applyFont="1" applyFill="1" applyBorder="1" applyAlignment="1">
      <alignment vertical="center" wrapText="1"/>
    </xf>
    <xf numFmtId="164" fontId="9" fillId="6" borderId="0" xfId="0" applyNumberFormat="1" applyFont="1" applyFill="1" applyAlignment="1">
      <alignment vertical="center" wrapText="1"/>
    </xf>
    <xf numFmtId="165" fontId="9" fillId="6" borderId="0" xfId="0" applyNumberFormat="1" applyFont="1" applyFill="1" applyAlignment="1">
      <alignment vertical="center" wrapText="1"/>
    </xf>
    <xf numFmtId="166" fontId="9" fillId="6" borderId="0" xfId="0" applyNumberFormat="1" applyFont="1" applyFill="1" applyAlignment="1">
      <alignment vertical="center" wrapText="1"/>
    </xf>
    <xf numFmtId="0" fontId="10" fillId="8" borderId="0" xfId="0" applyFont="1" applyFill="1" applyAlignment="1">
      <alignment vertical="top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showGridLines="0" zoomScale="90" zoomScaleNormal="90" workbookViewId="0">
      <pane ySplit="9" topLeftCell="A10" activePane="bottomLeft" state="frozen"/>
      <selection pane="bottomLeft" sqref="A1:F2"/>
    </sheetView>
  </sheetViews>
  <sheetFormatPr baseColWidth="10" defaultColWidth="9.140625" defaultRowHeight="26.1" customHeight="1" x14ac:dyDescent="0.25"/>
  <cols>
    <col min="1" max="1" width="8.7109375" style="1" customWidth="1"/>
    <col min="2" max="2" width="22.7109375" style="1" customWidth="1"/>
    <col min="3" max="3" width="17.7109375" style="1" customWidth="1"/>
    <col min="4" max="5" width="22.7109375" style="1" customWidth="1"/>
    <col min="6" max="6" width="18.7109375" style="1" customWidth="1"/>
  </cols>
  <sheetData>
    <row r="1" spans="1:6" ht="30" customHeight="1" x14ac:dyDescent="0.25">
      <c r="A1" s="15" t="s">
        <v>0</v>
      </c>
      <c r="B1" s="15"/>
      <c r="C1" s="15"/>
      <c r="D1" s="15"/>
      <c r="E1" s="15"/>
      <c r="F1" s="15"/>
    </row>
    <row r="2" spans="1:6" ht="30" customHeight="1" x14ac:dyDescent="0.25">
      <c r="A2" s="15"/>
      <c r="B2" s="15"/>
      <c r="C2" s="15"/>
      <c r="D2" s="15"/>
      <c r="E2" s="15"/>
      <c r="F2" s="15"/>
    </row>
    <row r="3" spans="1:6" ht="26.1" customHeight="1" x14ac:dyDescent="0.25">
      <c r="A3" s="16" t="s">
        <v>1</v>
      </c>
      <c r="B3" s="16"/>
      <c r="C3" s="16"/>
      <c r="D3" s="16"/>
      <c r="E3" s="16"/>
      <c r="F3" s="16"/>
    </row>
    <row r="4" spans="1:6" ht="26.1" customHeight="1" x14ac:dyDescent="0.25">
      <c r="A4" s="16"/>
      <c r="B4" s="16"/>
      <c r="C4" s="16"/>
      <c r="D4" s="16"/>
      <c r="E4" s="16"/>
      <c r="F4" s="16"/>
    </row>
    <row r="6" spans="1:6" ht="26.1" customHeight="1" x14ac:dyDescent="0.25">
      <c r="A6" s="24" t="s">
        <v>2</v>
      </c>
      <c r="B6" s="24"/>
      <c r="C6" s="24"/>
      <c r="D6" s="24"/>
      <c r="E6" s="24"/>
      <c r="F6" s="24"/>
    </row>
    <row r="7" spans="1:6" ht="26.1" customHeight="1" x14ac:dyDescent="0.25">
      <c r="A7" s="24"/>
      <c r="B7" s="24"/>
      <c r="C7" s="24"/>
      <c r="D7" s="24"/>
      <c r="E7" s="24"/>
      <c r="F7" s="24"/>
    </row>
    <row r="9" spans="1:6" ht="26.1" customHeight="1" x14ac:dyDescent="0.25">
      <c r="A9" s="17" t="s">
        <v>3</v>
      </c>
      <c r="B9" s="17"/>
      <c r="C9" s="17"/>
      <c r="D9" s="17"/>
      <c r="E9" s="17"/>
      <c r="F9" s="17"/>
    </row>
    <row r="10" spans="1:6" ht="33.950000000000003" customHeight="1" x14ac:dyDescent="0.25">
      <c r="A10" s="2" t="s">
        <v>4</v>
      </c>
      <c r="B10" s="23" t="s">
        <v>5</v>
      </c>
      <c r="C10" s="19"/>
      <c r="D10" s="18" t="s">
        <v>6</v>
      </c>
      <c r="E10" s="18"/>
      <c r="F10" s="18"/>
    </row>
    <row r="11" spans="1:6" ht="33.950000000000003" customHeight="1" x14ac:dyDescent="0.25">
      <c r="A11" s="2" t="s">
        <v>7</v>
      </c>
      <c r="B11" s="23" t="s">
        <v>8</v>
      </c>
      <c r="C11" s="19"/>
      <c r="D11" s="18" t="s">
        <v>9</v>
      </c>
      <c r="E11" s="18"/>
      <c r="F11" s="18"/>
    </row>
    <row r="12" spans="1:6" ht="33.950000000000003" customHeight="1" x14ac:dyDescent="0.25">
      <c r="A12" s="2" t="s">
        <v>10</v>
      </c>
      <c r="B12" s="23" t="s">
        <v>11</v>
      </c>
      <c r="C12" s="19"/>
      <c r="D12" s="18" t="s">
        <v>12</v>
      </c>
      <c r="E12" s="18"/>
      <c r="F12" s="18"/>
    </row>
    <row r="13" spans="1:6" ht="33.950000000000003" customHeight="1" x14ac:dyDescent="0.25">
      <c r="A13" s="2" t="s">
        <v>13</v>
      </c>
      <c r="B13" s="23" t="s">
        <v>14</v>
      </c>
      <c r="C13" s="19"/>
      <c r="D13" s="18" t="s">
        <v>15</v>
      </c>
      <c r="E13" s="18"/>
      <c r="F13" s="18"/>
    </row>
    <row r="14" spans="1:6" ht="33.950000000000003" customHeight="1" x14ac:dyDescent="0.25">
      <c r="A14" s="2" t="s">
        <v>16</v>
      </c>
      <c r="B14" s="23" t="s">
        <v>17</v>
      </c>
      <c r="C14" s="19"/>
      <c r="D14" s="18" t="s">
        <v>18</v>
      </c>
      <c r="E14" s="18"/>
      <c r="F14" s="18"/>
    </row>
    <row r="15" spans="1:6" ht="33.950000000000003" customHeight="1" x14ac:dyDescent="0.25">
      <c r="A15" s="2" t="s">
        <v>19</v>
      </c>
      <c r="B15" s="23" t="s">
        <v>20</v>
      </c>
      <c r="C15" s="19"/>
      <c r="D15" s="18" t="s">
        <v>21</v>
      </c>
      <c r="E15" s="18"/>
      <c r="F15" s="18"/>
    </row>
    <row r="18" spans="1:6" ht="26.1" customHeight="1" x14ac:dyDescent="0.25">
      <c r="A18" s="17" t="s">
        <v>22</v>
      </c>
      <c r="B18" s="17"/>
      <c r="C18" s="17"/>
      <c r="D18" s="17"/>
      <c r="E18" s="17"/>
      <c r="F18" s="17"/>
    </row>
    <row r="19" spans="1:6" ht="30" customHeight="1" x14ac:dyDescent="0.25">
      <c r="A19" s="20" t="s">
        <v>23</v>
      </c>
      <c r="B19" s="20"/>
      <c r="C19" s="20"/>
      <c r="D19" s="18" t="s">
        <v>24</v>
      </c>
      <c r="E19" s="18"/>
      <c r="F19" s="18"/>
    </row>
    <row r="20" spans="1:6" ht="30" customHeight="1" x14ac:dyDescent="0.25">
      <c r="A20" s="21" t="s">
        <v>25</v>
      </c>
      <c r="B20" s="21"/>
      <c r="C20" s="21"/>
      <c r="D20" s="18" t="s">
        <v>26</v>
      </c>
      <c r="E20" s="18"/>
      <c r="F20" s="18"/>
    </row>
    <row r="21" spans="1:6" ht="30" customHeight="1" x14ac:dyDescent="0.25">
      <c r="A21" s="22" t="s">
        <v>27</v>
      </c>
      <c r="B21" s="22"/>
      <c r="C21" s="22"/>
      <c r="D21" s="18" t="s">
        <v>28</v>
      </c>
      <c r="E21" s="18"/>
      <c r="F21" s="18"/>
    </row>
    <row r="23" spans="1:6" ht="26.1" customHeight="1" x14ac:dyDescent="0.25">
      <c r="A23" s="17" t="s">
        <v>29</v>
      </c>
      <c r="B23" s="17"/>
      <c r="C23" s="17"/>
      <c r="D23" s="17"/>
      <c r="E23" s="17"/>
      <c r="F23" s="17"/>
    </row>
    <row r="24" spans="1:6" ht="33.950000000000003" customHeight="1" x14ac:dyDescent="0.25">
      <c r="A24" s="18" t="s">
        <v>30</v>
      </c>
      <c r="B24" s="18"/>
      <c r="C24" s="18"/>
      <c r="D24" s="18"/>
      <c r="E24" s="18"/>
      <c r="F24" s="18"/>
    </row>
    <row r="25" spans="1:6" ht="33.950000000000003" customHeight="1" x14ac:dyDescent="0.25">
      <c r="A25" s="18" t="s">
        <v>31</v>
      </c>
      <c r="B25" s="18"/>
      <c r="C25" s="18"/>
      <c r="D25" s="18"/>
      <c r="E25" s="18"/>
      <c r="F25" s="18"/>
    </row>
    <row r="26" spans="1:6" ht="33.950000000000003" customHeight="1" x14ac:dyDescent="0.25">
      <c r="A26" s="18" t="s">
        <v>32</v>
      </c>
      <c r="B26" s="18"/>
      <c r="C26" s="18"/>
      <c r="D26" s="18"/>
      <c r="E26" s="18"/>
      <c r="F26" s="18"/>
    </row>
    <row r="28" spans="1:6" ht="26.1" customHeight="1" x14ac:dyDescent="0.25">
      <c r="A28" s="19" t="s">
        <v>33</v>
      </c>
      <c r="B28" s="19"/>
      <c r="C28" s="19"/>
      <c r="D28" s="19"/>
      <c r="E28" s="19"/>
      <c r="F28" s="19"/>
    </row>
    <row r="29" spans="1:6" ht="26.1" customHeight="1" x14ac:dyDescent="0.25">
      <c r="A29" s="19"/>
      <c r="B29" s="19"/>
      <c r="C29" s="19"/>
      <c r="D29" s="19"/>
      <c r="E29" s="19"/>
      <c r="F29" s="19"/>
    </row>
  </sheetData>
  <mergeCells count="28">
    <mergeCell ref="A1:F2"/>
    <mergeCell ref="A3:F4"/>
    <mergeCell ref="A6:F7"/>
    <mergeCell ref="A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8:F18"/>
    <mergeCell ref="A19:C19"/>
    <mergeCell ref="D19:F19"/>
    <mergeCell ref="A20:C20"/>
    <mergeCell ref="D20:F20"/>
    <mergeCell ref="A21:C21"/>
    <mergeCell ref="D21:F21"/>
    <mergeCell ref="A23:F23"/>
    <mergeCell ref="A24:F24"/>
    <mergeCell ref="A25:F25"/>
    <mergeCell ref="A26:F26"/>
    <mergeCell ref="A28:F29"/>
  </mergeCells>
  <hyperlinks>
    <hyperlink ref="B10" location="'1 Inputs'!A1" display="1 Inputs" xr:uid="{00000000-0004-0000-0000-000000000000}"/>
    <hyperlink ref="B11" location="'2 Market'!A1" display="2 Market" xr:uid="{00000000-0004-0000-0000-000001000000}"/>
    <hyperlink ref="B12" location="'3 Build'!A1" display="3 Build" xr:uid="{00000000-0004-0000-0000-000002000000}"/>
    <hyperlink ref="B13" location="'4 Results'!A1" display="4 Results" xr:uid="{00000000-0004-0000-0000-000003000000}"/>
    <hyperlink ref="B14" location="'5 Cashflows'!A1" display="5 Cashflows" xr:uid="{00000000-0004-0000-0000-000004000000}"/>
    <hyperlink ref="B15" location="'6 Risk'!A1" display="6 Risk" xr:uid="{00000000-0004-0000-0000-000005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7AB7"/>
    <pageSetUpPr fitToPage="1"/>
  </sheetPr>
  <dimension ref="A1:C31"/>
  <sheetViews>
    <sheetView showGridLines="0" zoomScale="85" zoomScaleNormal="85" workbookViewId="0">
      <pane xSplit="1" ySplit="6" topLeftCell="B29" activePane="bottomRight" state="frozen"/>
      <selection pane="topRight" activeCell="B1" sqref="B1"/>
      <selection pane="bottomLeft" activeCell="A7" sqref="A7"/>
      <selection pane="bottomRight" activeCell="C18" sqref="C18"/>
    </sheetView>
  </sheetViews>
  <sheetFormatPr baseColWidth="10" defaultColWidth="9.140625" defaultRowHeight="24" customHeight="1" x14ac:dyDescent="0.25"/>
  <cols>
    <col min="1" max="1" width="34.7109375" style="1" customWidth="1"/>
    <col min="2" max="2" width="26.7109375" style="1" customWidth="1"/>
    <col min="3" max="3" width="62.7109375" style="1" customWidth="1"/>
  </cols>
  <sheetData>
    <row r="1" spans="1:3" ht="38.1" customHeight="1" x14ac:dyDescent="0.25">
      <c r="A1" s="15" t="s">
        <v>34</v>
      </c>
      <c r="B1" s="15"/>
      <c r="C1" s="15"/>
    </row>
    <row r="2" spans="1:3" ht="24" customHeight="1" x14ac:dyDescent="0.25">
      <c r="A2" s="16" t="s">
        <v>35</v>
      </c>
      <c r="B2" s="16"/>
      <c r="C2" s="16"/>
    </row>
    <row r="3" spans="1:3" ht="24" customHeight="1" x14ac:dyDescent="0.25">
      <c r="A3" s="16"/>
      <c r="B3" s="16"/>
      <c r="C3" s="16"/>
    </row>
    <row r="4" spans="1:3" ht="36" customHeight="1" x14ac:dyDescent="0.25">
      <c r="A4" s="4" t="s">
        <v>36</v>
      </c>
      <c r="C4" s="4" t="s">
        <v>37</v>
      </c>
    </row>
    <row r="6" spans="1:3" ht="36" customHeight="1" x14ac:dyDescent="0.25">
      <c r="A6" s="3" t="s">
        <v>38</v>
      </c>
      <c r="B6" s="3" t="s">
        <v>39</v>
      </c>
      <c r="C6" s="3" t="s">
        <v>40</v>
      </c>
    </row>
    <row r="7" spans="1:3" ht="32.1" customHeight="1" x14ac:dyDescent="0.25">
      <c r="A7" s="1" t="s">
        <v>41</v>
      </c>
      <c r="B7" s="6" t="s">
        <v>42</v>
      </c>
      <c r="C7" s="5" t="s">
        <v>43</v>
      </c>
    </row>
    <row r="8" spans="1:3" ht="32.1" customHeight="1" x14ac:dyDescent="0.25">
      <c r="A8" s="1" t="s">
        <v>44</v>
      </c>
      <c r="B8" s="6" t="s">
        <v>42</v>
      </c>
      <c r="C8" s="5" t="s">
        <v>45</v>
      </c>
    </row>
    <row r="9" spans="1:3" ht="32.1" customHeight="1" x14ac:dyDescent="0.25">
      <c r="A9" s="1" t="s">
        <v>46</v>
      </c>
      <c r="B9" s="6" t="s">
        <v>47</v>
      </c>
      <c r="C9" s="5" t="s">
        <v>48</v>
      </c>
    </row>
    <row r="10" spans="1:3" ht="32.1" customHeight="1" x14ac:dyDescent="0.25">
      <c r="A10" s="1" t="s">
        <v>49</v>
      </c>
      <c r="B10" s="9">
        <v>1000000</v>
      </c>
      <c r="C10" s="5" t="s">
        <v>50</v>
      </c>
    </row>
    <row r="11" spans="1:3" ht="32.1" customHeight="1" x14ac:dyDescent="0.25">
      <c r="A11" s="1" t="s">
        <v>51</v>
      </c>
      <c r="B11" s="10">
        <v>0.04</v>
      </c>
      <c r="C11" s="5" t="s">
        <v>52</v>
      </c>
    </row>
    <row r="12" spans="1:3" ht="32.1" customHeight="1" x14ac:dyDescent="0.25">
      <c r="A12" s="1" t="s">
        <v>53</v>
      </c>
      <c r="B12" s="6" t="s">
        <v>54</v>
      </c>
      <c r="C12" s="5" t="s">
        <v>55</v>
      </c>
    </row>
    <row r="16" spans="1:3" ht="36" customHeight="1" x14ac:dyDescent="0.25">
      <c r="A16" s="3" t="s">
        <v>56</v>
      </c>
      <c r="B16" s="3" t="s">
        <v>57</v>
      </c>
      <c r="C16" s="3" t="s">
        <v>58</v>
      </c>
    </row>
    <row r="17" spans="1:3" ht="24" customHeight="1" x14ac:dyDescent="0.25">
      <c r="A17" s="1" t="s">
        <v>59</v>
      </c>
      <c r="B17" s="6" t="s">
        <v>60</v>
      </c>
      <c r="C17" s="10">
        <v>0</v>
      </c>
    </row>
    <row r="18" spans="1:3" ht="24" customHeight="1" x14ac:dyDescent="0.25">
      <c r="A18" s="1" t="s">
        <v>61</v>
      </c>
      <c r="B18" s="6" t="s">
        <v>60</v>
      </c>
      <c r="C18" s="10">
        <v>0.01</v>
      </c>
    </row>
    <row r="19" spans="1:3" ht="24" customHeight="1" x14ac:dyDescent="0.25">
      <c r="A19" s="1" t="s">
        <v>62</v>
      </c>
      <c r="B19" s="6" t="s">
        <v>63</v>
      </c>
      <c r="C19" s="9">
        <v>100</v>
      </c>
    </row>
    <row r="22" spans="1:3" ht="36" customHeight="1" x14ac:dyDescent="0.25">
      <c r="A22" s="3" t="s">
        <v>64</v>
      </c>
      <c r="B22" s="3" t="s">
        <v>65</v>
      </c>
      <c r="C22" s="3"/>
    </row>
    <row r="23" spans="1:3" ht="24" customHeight="1" x14ac:dyDescent="0.25">
      <c r="A23" s="1" t="s">
        <v>39</v>
      </c>
      <c r="B23" s="5" t="s">
        <v>66</v>
      </c>
    </row>
    <row r="24" spans="1:3" ht="24" customHeight="1" x14ac:dyDescent="0.25">
      <c r="A24" s="1" t="s">
        <v>67</v>
      </c>
      <c r="B24" s="5" t="s">
        <v>68</v>
      </c>
    </row>
    <row r="25" spans="1:3" ht="24" customHeight="1" x14ac:dyDescent="0.25">
      <c r="A25" s="1" t="s">
        <v>60</v>
      </c>
      <c r="B25" s="5" t="s">
        <v>69</v>
      </c>
    </row>
    <row r="26" spans="1:3" ht="24" customHeight="1" x14ac:dyDescent="0.25">
      <c r="A26" s="1" t="s">
        <v>70</v>
      </c>
      <c r="B26" s="5" t="s">
        <v>71</v>
      </c>
    </row>
    <row r="27" spans="1:3" ht="24" customHeight="1" x14ac:dyDescent="0.25">
      <c r="A27" s="1" t="s">
        <v>72</v>
      </c>
      <c r="B27" s="5" t="s">
        <v>73</v>
      </c>
    </row>
    <row r="30" spans="1:3" ht="36" customHeight="1" x14ac:dyDescent="0.25">
      <c r="A30" s="3" t="s">
        <v>74</v>
      </c>
      <c r="B30" s="3" t="s">
        <v>75</v>
      </c>
      <c r="C30" s="3"/>
    </row>
    <row r="31" spans="1:3" ht="24" customHeight="1" x14ac:dyDescent="0.25">
      <c r="A31" s="1" t="s">
        <v>76</v>
      </c>
      <c r="B31" s="6" t="s">
        <v>77</v>
      </c>
    </row>
  </sheetData>
  <mergeCells count="2">
    <mergeCell ref="A1:C1"/>
    <mergeCell ref="A2:C3"/>
  </mergeCells>
  <hyperlinks>
    <hyperlink ref="A4" location="'Start Here'!A1" display="← Start Here" xr:uid="{00000000-0004-0000-0100-000000000000}"/>
    <hyperlink ref="C4" location="'2 Market'!A1" display="Next → 2 Market" xr:uid="{00000000-0004-0000-0100-000001000000}"/>
  </hyperlinks>
  <pageMargins left="0.3" right="0.3" top="0.4" bottom="0.4" header="0.3" footer="0.3"/>
  <pageSetup paperSize="9" fitToHeight="0" orientation="landscape"/>
  <headerFooter>
    <oddFooter>&amp;LQuantSupport&amp;CContract and position inputs&amp;R&amp;P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7AB7"/>
    <pageSetUpPr fitToPage="1"/>
  </sheetPr>
  <dimension ref="A1:C22"/>
  <sheetViews>
    <sheetView showGridLines="0" zoomScale="85" zoomScaleNormal="85" workbookViewId="0">
      <pane xSplit="1" ySplit="6" topLeftCell="B13" activePane="bottomRight" state="frozen"/>
      <selection pane="topRight" activeCell="B1" sqref="B1"/>
      <selection pane="bottomLeft" activeCell="A7" sqref="A7"/>
      <selection pane="bottomRight" activeCell="B21" sqref="B21"/>
    </sheetView>
  </sheetViews>
  <sheetFormatPr baseColWidth="10" defaultColWidth="9.140625" defaultRowHeight="24" customHeight="1" x14ac:dyDescent="0.25"/>
  <cols>
    <col min="1" max="1" width="38.7109375" style="1" customWidth="1"/>
    <col min="2" max="2" width="42.7109375" style="1" customWidth="1"/>
    <col min="3" max="3" width="44.7109375" style="1" customWidth="1"/>
  </cols>
  <sheetData>
    <row r="1" spans="1:3" ht="38.1" customHeight="1" x14ac:dyDescent="0.25">
      <c r="A1" s="15" t="s">
        <v>78</v>
      </c>
      <c r="B1" s="15"/>
      <c r="C1" s="15"/>
    </row>
    <row r="2" spans="1:3" ht="24" customHeight="1" x14ac:dyDescent="0.25">
      <c r="A2" s="16" t="s">
        <v>79</v>
      </c>
      <c r="B2" s="16"/>
      <c r="C2" s="16"/>
    </row>
    <row r="3" spans="1:3" ht="24" customHeight="1" x14ac:dyDescent="0.25">
      <c r="A3" s="16"/>
      <c r="B3" s="16"/>
      <c r="C3" s="16"/>
    </row>
    <row r="4" spans="1:3" ht="36" customHeight="1" x14ac:dyDescent="0.25">
      <c r="A4" s="4" t="s">
        <v>36</v>
      </c>
      <c r="C4" s="4" t="s">
        <v>80</v>
      </c>
    </row>
    <row r="6" spans="1:3" ht="36" customHeight="1" x14ac:dyDescent="0.25">
      <c r="A6" s="3" t="s">
        <v>81</v>
      </c>
      <c r="B6" s="3" t="s">
        <v>82</v>
      </c>
      <c r="C6" s="3"/>
    </row>
    <row r="7" spans="1:3" ht="24" customHeight="1" x14ac:dyDescent="0.25">
      <c r="A7" s="6" t="s">
        <v>83</v>
      </c>
      <c r="B7" s="10">
        <v>0.03</v>
      </c>
    </row>
    <row r="8" spans="1:3" ht="24" customHeight="1" x14ac:dyDescent="0.25">
      <c r="A8" s="6" t="s">
        <v>84</v>
      </c>
      <c r="B8" s="10">
        <v>0.03</v>
      </c>
    </row>
    <row r="9" spans="1:3" ht="24" customHeight="1" x14ac:dyDescent="0.25">
      <c r="A9" s="6" t="s">
        <v>85</v>
      </c>
      <c r="B9" s="10">
        <v>3.2000000000000001E-2</v>
      </c>
    </row>
    <row r="10" spans="1:3" ht="24" customHeight="1" x14ac:dyDescent="0.25">
      <c r="A10" s="6" t="s">
        <v>86</v>
      </c>
      <c r="B10" s="10">
        <v>3.4000000000000002E-2</v>
      </c>
    </row>
    <row r="11" spans="1:3" ht="24" customHeight="1" x14ac:dyDescent="0.25">
      <c r="A11" s="6" t="s">
        <v>87</v>
      </c>
      <c r="B11" s="10">
        <v>3.5000000000000003E-2</v>
      </c>
    </row>
    <row r="13" spans="1:3" ht="24" customHeight="1" x14ac:dyDescent="0.25">
      <c r="A13" s="19" t="s">
        <v>88</v>
      </c>
      <c r="B13" s="19"/>
      <c r="C13" s="19"/>
    </row>
    <row r="14" spans="1:3" ht="24" customHeight="1" x14ac:dyDescent="0.25">
      <c r="A14" s="19"/>
      <c r="B14" s="19"/>
      <c r="C14" s="19"/>
    </row>
    <row r="17" spans="1:3" ht="36" customHeight="1" x14ac:dyDescent="0.25">
      <c r="A17" s="3" t="s">
        <v>89</v>
      </c>
      <c r="B17" s="3" t="s">
        <v>90</v>
      </c>
      <c r="C17" s="3" t="s">
        <v>91</v>
      </c>
    </row>
    <row r="18" spans="1:3" ht="38.1" customHeight="1" x14ac:dyDescent="0.25">
      <c r="A18" s="2" t="s">
        <v>92</v>
      </c>
      <c r="B18" s="8" t="e" cm="1">
        <f t="array" aca="1" ref="B18" ca="1">_xll.QS.CONTEXT.CREATE("Bond.Root",Bond_ValuationDate,"USD","SOFR")</f>
        <v>#VALUE!</v>
      </c>
      <c r="C18" s="5" t="s">
        <v>93</v>
      </c>
    </row>
    <row r="19" spans="1:3" ht="33.950000000000003" customHeight="1" x14ac:dyDescent="0.25">
      <c r="A19" s="14" t="str">
        <f ca="1">SUBSTITUTE(_xlfn.FORMULATEXT(B18),",",", ")</f>
        <v>=QS.CONTEXT.CREATE("Bond.Root";Bond_ValuationDate;"USD";"SOFR")</v>
      </c>
      <c r="B19" s="14"/>
      <c r="C19" s="14"/>
    </row>
    <row r="21" spans="1:3" ht="38.1" customHeight="1" x14ac:dyDescent="0.25">
      <c r="A21" s="2" t="s">
        <v>94</v>
      </c>
      <c r="B21" s="8" t="e" cm="1">
        <f t="array" aca="1" ref="B21" ca="1">_xll.QS.CONTEXT.ADD.ZERO.CURVE(Bond_Root,"SOFR",Bond_Pillars,Bond_ZeroRates,"Actual360","Continuous","Annual","Linear",TRUE)</f>
        <v>#VALUE!</v>
      </c>
      <c r="C21" s="5" t="s">
        <v>95</v>
      </c>
    </row>
    <row r="22" spans="1:3" ht="33.950000000000003" customHeight="1" x14ac:dyDescent="0.25">
      <c r="A22" s="14" t="str">
        <f ca="1">SUBSTITUTE(_xlfn.FORMULATEXT(B21),",",", ")</f>
        <v>=QS.CONTEXT.ADD.ZERO.CURVE(Bond_Root;"SOFR";Bond_Pillars;Bond_ZeroRates;"Actual360";"Continuous";"Annual";"Linear";VERDADERO)</v>
      </c>
      <c r="B22" s="14"/>
      <c r="C22" s="14"/>
    </row>
  </sheetData>
  <mergeCells count="5">
    <mergeCell ref="A1:C1"/>
    <mergeCell ref="A2:C3"/>
    <mergeCell ref="A13:C14"/>
    <mergeCell ref="A19:C19"/>
    <mergeCell ref="A22:C22"/>
  </mergeCells>
  <hyperlinks>
    <hyperlink ref="A4" location="'Start Here'!A1" display="← Start Here" xr:uid="{00000000-0004-0000-0200-000000000000}"/>
    <hyperlink ref="C4" location="'3 Build'!A1" display="Next → 3 Build" xr:uid="{00000000-0004-0000-0200-000001000000}"/>
  </hyperlinks>
  <pageMargins left="0.3" right="0.3" top="0.4" bottom="0.4" header="0.3" footer="0.3"/>
  <pageSetup paperSize="9" fitToHeight="0" orientation="landscape"/>
  <headerFooter>
    <oddFooter>&amp;LQuantSupport&amp;CMarket assumptions and curve construction&amp;R&amp;P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8909C"/>
    <pageSetUpPr fitToPage="1"/>
  </sheetPr>
  <dimension ref="A1:C46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C1"/>
    </sheetView>
  </sheetViews>
  <sheetFormatPr baseColWidth="10" defaultColWidth="9.140625" defaultRowHeight="24" customHeight="1" x14ac:dyDescent="0.25"/>
  <cols>
    <col min="1" max="1" width="34.7109375" style="1" customWidth="1"/>
    <col min="2" max="3" width="48.7109375" style="1" customWidth="1"/>
  </cols>
  <sheetData>
    <row r="1" spans="1:3" ht="38.1" customHeight="1" x14ac:dyDescent="0.25">
      <c r="A1" s="15" t="s">
        <v>96</v>
      </c>
      <c r="B1" s="15"/>
      <c r="C1" s="15"/>
    </row>
    <row r="2" spans="1:3" ht="24" customHeight="1" x14ac:dyDescent="0.25">
      <c r="A2" s="16" t="s">
        <v>97</v>
      </c>
      <c r="B2" s="16"/>
      <c r="C2" s="16"/>
    </row>
    <row r="3" spans="1:3" ht="24" customHeight="1" x14ac:dyDescent="0.25">
      <c r="A3" s="16"/>
      <c r="B3" s="16"/>
      <c r="C3" s="16"/>
    </row>
    <row r="4" spans="1:3" ht="36" customHeight="1" x14ac:dyDescent="0.25">
      <c r="A4" s="4" t="s">
        <v>36</v>
      </c>
      <c r="C4" s="4" t="s">
        <v>98</v>
      </c>
    </row>
    <row r="6" spans="1:3" ht="36" customHeight="1" x14ac:dyDescent="0.25">
      <c r="A6" s="3" t="s">
        <v>99</v>
      </c>
      <c r="B6" s="3" t="s">
        <v>90</v>
      </c>
      <c r="C6" s="3" t="s">
        <v>100</v>
      </c>
    </row>
    <row r="7" spans="1:3" ht="38.1" customHeight="1" x14ac:dyDescent="0.25">
      <c r="A7" s="2" t="s">
        <v>101</v>
      </c>
      <c r="B7" s="8" t="e" cm="1">
        <f t="array" aca="1" ref="B7" ca="1">Bond_Root</f>
        <v>#VALUE!</v>
      </c>
      <c r="C7" s="5" t="s">
        <v>102</v>
      </c>
    </row>
    <row r="8" spans="1:3" ht="33.950000000000003" customHeight="1" x14ac:dyDescent="0.25">
      <c r="A8" s="14" t="str">
        <f ca="1">SUBSTITUTE(_xlfn.FORMULATEXT(B7),",",", ")</f>
        <v>=Bond_Root</v>
      </c>
      <c r="B8" s="14"/>
      <c r="C8" s="14"/>
    </row>
    <row r="10" spans="1:3" ht="38.1" customHeight="1" x14ac:dyDescent="0.25">
      <c r="A10" s="2" t="s">
        <v>103</v>
      </c>
      <c r="B10" s="8" t="e" cm="1">
        <f t="array" aca="1" ref="B10" ca="1">_xll.QS.INSTRUMENT.FIXED.RATE.BOND("Bond.Instrument",Bond_Start,Bond_Maturity,"USD",,Bond_Notional,Bond_Coupon,"Actual360","Compounded","Semiannual","Semiannual")</f>
        <v>#VALUE!</v>
      </c>
      <c r="C10" s="5" t="s">
        <v>104</v>
      </c>
    </row>
    <row r="11" spans="1:3" ht="33.950000000000003" customHeight="1" x14ac:dyDescent="0.25">
      <c r="A11" s="14" t="str">
        <f ca="1">SUBSTITUTE(_xlfn.FORMULATEXT(B10),",",", ")</f>
        <v>=QS.INSTRUMENT.FIXED.RATE.BOND("Bond.Instrument";Bond_Start;Bond_Maturity;"USD";;Bond_Notional;Bond_Coupon;"Actual360";"Compounded";"Semiannual";"Semiannual")</v>
      </c>
      <c r="B11" s="14"/>
      <c r="C11" s="14"/>
    </row>
    <row r="13" spans="1:3" ht="38.1" customHeight="1" x14ac:dyDescent="0.25">
      <c r="A13" s="2" t="s">
        <v>105</v>
      </c>
      <c r="B13" s="8" t="e" cm="1">
        <f t="array" aca="1" ref="B13" ca="1">_xll.QS.DISCOUNT.POLICY.FIXED.INCOME("Bond.Policy",Bond_DiscountCurrency,Bond_DiscountIndex)</f>
        <v>#VALUE!</v>
      </c>
      <c r="C13" s="5" t="s">
        <v>106</v>
      </c>
    </row>
    <row r="14" spans="1:3" ht="33.950000000000003" customHeight="1" x14ac:dyDescent="0.25">
      <c r="A14" s="14" t="str">
        <f ca="1">SUBSTITUTE(_xlfn.FORMULATEXT(B13),",",", ")</f>
        <v>=QS.DISCOUNT.POLICY.FIXED.INCOME("Bond.Policy";Bond_DiscountCurrency;Bond_DiscountIndex)</v>
      </c>
      <c r="B14" s="14"/>
      <c r="C14" s="14"/>
    </row>
    <row r="16" spans="1:3" ht="38.1" customHeight="1" x14ac:dyDescent="0.25">
      <c r="A16" s="2" t="s">
        <v>107</v>
      </c>
      <c r="B16" s="8" t="e" cm="1">
        <f t="array" aca="1" ref="B16" ca="1">_xll.QS.PRICER.CREATE("Bond.Pricer","BondPricer",Bond_Policy)</f>
        <v>#VALUE!</v>
      </c>
      <c r="C16" s="5" t="s">
        <v>108</v>
      </c>
    </row>
    <row r="17" spans="1:3" ht="33.950000000000003" customHeight="1" x14ac:dyDescent="0.25">
      <c r="A17" s="14" t="str">
        <f ca="1">SUBSTITUTE(_xlfn.FORMULATEXT(B16),",",", ")</f>
        <v>=QS.PRICER.CREATE("Bond.Pricer";"BondPricer";Bond_Policy)</v>
      </c>
      <c r="B17" s="14"/>
      <c r="C17" s="14"/>
    </row>
    <row r="19" spans="1:3" ht="38.1" customHeight="1" x14ac:dyDescent="0.25">
      <c r="A19" s="2" t="s">
        <v>109</v>
      </c>
      <c r="B19" s="8" t="e" cm="1">
        <f t="array" aca="1" ref="B19" ca="1">_xll.QS.TRADE.CREATE("Bond.C01.Trade",Bond_Instrument,Bond_ValuationDate,Bond_Side,,,Bond_C01_Anchor,Bond_C01_AnchorValue)</f>
        <v>#VALUE!</v>
      </c>
      <c r="C19" s="5" t="s">
        <v>110</v>
      </c>
    </row>
    <row r="20" spans="1:3" ht="33.950000000000003" customHeight="1" x14ac:dyDescent="0.25">
      <c r="A20" s="14" t="str">
        <f ca="1">SUBSTITUTE(_xlfn.FORMULATEXT(B19),",",", ")</f>
        <v>=QS.TRADE.CREATE("Bond.C01.Trade";Bond_Instrument;Bond_ValuationDate;Bond_Side;;;Bond_C01_Anchor;Bond_C01_AnchorValue)</v>
      </c>
      <c r="B20" s="14"/>
      <c r="C20" s="14"/>
    </row>
    <row r="22" spans="1:3" ht="38.1" customHeight="1" x14ac:dyDescent="0.25">
      <c r="A22" s="2" t="s">
        <v>111</v>
      </c>
      <c r="B22" s="8" t="e" cm="1">
        <f t="array" aca="1" ref="B22" ca="1">_xll.QS.EVALUATE.RESULTS(Bond_Context,Bond_C01_Trade,Bond_Requests,Bond_Pricer)</f>
        <v>#VALUE!</v>
      </c>
      <c r="C22" s="5" t="s">
        <v>112</v>
      </c>
    </row>
    <row r="23" spans="1:3" ht="33.950000000000003" customHeight="1" x14ac:dyDescent="0.25">
      <c r="A23" s="14" t="str">
        <f ca="1">SUBSTITUTE(_xlfn.FORMULATEXT(B22),",",", ")</f>
        <v>=QS.EVALUATE.RESULTS(Bond_Context;Bond_C01_Trade;Bond_Requests;Bond_Pricer)</v>
      </c>
      <c r="B23" s="14"/>
      <c r="C23" s="14"/>
    </row>
    <row r="25" spans="1:3" ht="38.1" customHeight="1" x14ac:dyDescent="0.25">
      <c r="A25" s="2" t="s">
        <v>113</v>
      </c>
      <c r="B25" s="8" t="e" cm="1">
        <f t="array" aca="1" ref="B25" ca="1">_xll.QS.TRADE.CREATE("Bond.C02.Trade",Bond_Instrument,Bond_ValuationDate,Bond_Side,,,Bond_C02_Anchor,Bond_C02_AnchorValue)</f>
        <v>#VALUE!</v>
      </c>
      <c r="C25" s="5" t="s">
        <v>110</v>
      </c>
    </row>
    <row r="26" spans="1:3" ht="33.950000000000003" customHeight="1" x14ac:dyDescent="0.25">
      <c r="A26" s="14" t="str">
        <f ca="1">SUBSTITUTE(_xlfn.FORMULATEXT(B25),",",", ")</f>
        <v>=QS.TRADE.CREATE("Bond.C02.Trade";Bond_Instrument;Bond_ValuationDate;Bond_Side;;;Bond_C02_Anchor;Bond_C02_AnchorValue)</v>
      </c>
      <c r="B26" s="14"/>
      <c r="C26" s="14"/>
    </row>
    <row r="28" spans="1:3" ht="38.1" customHeight="1" x14ac:dyDescent="0.25">
      <c r="A28" s="2" t="s">
        <v>114</v>
      </c>
      <c r="B28" s="8" t="e" cm="1">
        <f t="array" aca="1" ref="B28" ca="1">_xll.QS.EVALUATE.RESULTS(Bond_Context,Bond_C02_Trade,Bond_Requests,Bond_Pricer)</f>
        <v>#VALUE!</v>
      </c>
      <c r="C28" s="5" t="s">
        <v>112</v>
      </c>
    </row>
    <row r="29" spans="1:3" ht="33.950000000000003" customHeight="1" x14ac:dyDescent="0.25">
      <c r="A29" s="14" t="str">
        <f ca="1">SUBSTITUTE(_xlfn.FORMULATEXT(B28),",",", ")</f>
        <v>=QS.EVALUATE.RESULTS(Bond_Context;Bond_C02_Trade;Bond_Requests;Bond_Pricer)</v>
      </c>
      <c r="B29" s="14"/>
      <c r="C29" s="14"/>
    </row>
    <row r="31" spans="1:3" ht="38.1" customHeight="1" x14ac:dyDescent="0.25">
      <c r="A31" s="2" t="s">
        <v>115</v>
      </c>
      <c r="B31" s="8" t="e" cm="1">
        <f t="array" aca="1" ref="B31" ca="1">_xll.QS.TRADE.CREATE("Bond.C03.Trade",Bond_Instrument,Bond_ValuationDate,Bond_Side,,,Bond_C03_Anchor,Bond_C03_AnchorValue)</f>
        <v>#VALUE!</v>
      </c>
      <c r="C31" s="5" t="s">
        <v>110</v>
      </c>
    </row>
    <row r="32" spans="1:3" ht="33.950000000000003" customHeight="1" x14ac:dyDescent="0.25">
      <c r="A32" s="14" t="str">
        <f ca="1">SUBSTITUTE(_xlfn.FORMULATEXT(B31),",",", ")</f>
        <v>=QS.TRADE.CREATE("Bond.C03.Trade";Bond_Instrument;Bond_ValuationDate;Bond_Side;;;Bond_C03_Anchor;Bond_C03_AnchorValue)</v>
      </c>
      <c r="B32" s="14"/>
      <c r="C32" s="14"/>
    </row>
    <row r="34" spans="1:3" ht="38.1" customHeight="1" x14ac:dyDescent="0.25">
      <c r="A34" s="2" t="s">
        <v>116</v>
      </c>
      <c r="B34" s="8" t="e" cm="1">
        <f t="array" aca="1" ref="B34" ca="1">_xll.QS.EVALUATE.RESULTS(Bond_Context,Bond_C03_Trade,Bond_Requests,Bond_Pricer)</f>
        <v>#VALUE!</v>
      </c>
      <c r="C34" s="5" t="s">
        <v>112</v>
      </c>
    </row>
    <row r="35" spans="1:3" ht="33.950000000000003" customHeight="1" x14ac:dyDescent="0.25">
      <c r="A35" s="14" t="str">
        <f ca="1">SUBSTITUTE(_xlfn.FORMULATEXT(B34),",",", ")</f>
        <v>=QS.EVALUATE.RESULTS(Bond_Context;Bond_C03_Trade;Bond_Requests;Bond_Pricer)</v>
      </c>
      <c r="B35" s="14"/>
      <c r="C35" s="14"/>
    </row>
    <row r="39" spans="1:3" ht="36" customHeight="1" x14ac:dyDescent="0.25">
      <c r="A39" s="3" t="s">
        <v>128</v>
      </c>
      <c r="B39" s="3" t="s">
        <v>129</v>
      </c>
      <c r="C39" s="3"/>
    </row>
    <row r="40" spans="1:3" ht="24" customHeight="1" x14ac:dyDescent="0.25">
      <c r="A40" s="1" t="s">
        <v>59</v>
      </c>
      <c r="B40" s="8" t="e">
        <f ca="1">Bond_C01_Result</f>
        <v>#VALUE!</v>
      </c>
    </row>
    <row r="41" spans="1:3" ht="24" customHeight="1" x14ac:dyDescent="0.25">
      <c r="A41" s="1" t="s">
        <v>61</v>
      </c>
      <c r="B41" s="8" t="e">
        <f ca="1">Bond_C02_Result</f>
        <v>#VALUE!</v>
      </c>
    </row>
    <row r="42" spans="1:3" ht="24" customHeight="1" x14ac:dyDescent="0.25">
      <c r="A42" s="1" t="s">
        <v>62</v>
      </c>
      <c r="B42" s="8" t="e">
        <f ca="1">Bond_C03_Result</f>
        <v>#VALUE!</v>
      </c>
    </row>
    <row r="45" spans="1:3" ht="38.1" customHeight="1" x14ac:dyDescent="0.25">
      <c r="A45" s="2" t="s">
        <v>132</v>
      </c>
      <c r="B45" s="8" t="e">
        <f ca="1">INDEX(Bond_ResultHandles,MATCH(Bond_SelectedCase,Bond_CaseNames,0))</f>
        <v>#VALUE!</v>
      </c>
      <c r="C45" s="5" t="s">
        <v>133</v>
      </c>
    </row>
    <row r="46" spans="1:3" ht="33.950000000000003" customHeight="1" x14ac:dyDescent="0.25">
      <c r="A46" s="14" t="str">
        <f ca="1">SUBSTITUTE(_xlfn.FORMULATEXT(B45),",",", ")</f>
        <v>=INDICE(Bond_ResultHandles;COINCIDIR(Bond_SelectedCase;Bond_CaseNames;0))</v>
      </c>
      <c r="B46" s="14"/>
      <c r="C46" s="14"/>
    </row>
  </sheetData>
  <mergeCells count="13">
    <mergeCell ref="A1:C1"/>
    <mergeCell ref="A2:C3"/>
    <mergeCell ref="A8:C8"/>
    <mergeCell ref="A11:C11"/>
    <mergeCell ref="A14:C14"/>
    <mergeCell ref="A32:C32"/>
    <mergeCell ref="A35:C35"/>
    <mergeCell ref="A46:C46"/>
    <mergeCell ref="A17:C17"/>
    <mergeCell ref="A20:C20"/>
    <mergeCell ref="A23:C23"/>
    <mergeCell ref="A26:C26"/>
    <mergeCell ref="A29:C29"/>
  </mergeCells>
  <hyperlinks>
    <hyperlink ref="A4" location="'Start Here'!A1" display="← Start Here" xr:uid="{00000000-0004-0000-0300-000000000000}"/>
    <hyperlink ref="C4" location="'4 Results'!A1" display="Next → 4 Results" xr:uid="{00000000-0004-0000-0300-000001000000}"/>
  </hyperlinks>
  <pageMargins left="0.3" right="0.3" top="0.4" bottom="0.4" header="0.3" footer="0.3"/>
  <pageSetup paperSize="9" fitToHeight="0" orientation="landscape"/>
  <headerFooter>
    <oddFooter>&amp;LQuantSupport&amp;CBuild one contract and three positions&amp;R&amp;P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1845B"/>
    <pageSetUpPr fitToPage="1"/>
  </sheetPr>
  <dimension ref="A1:F19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F1"/>
    </sheetView>
  </sheetViews>
  <sheetFormatPr baseColWidth="10" defaultColWidth="9.140625" defaultRowHeight="24" customHeight="1" x14ac:dyDescent="0.25"/>
  <cols>
    <col min="1" max="1" width="30.7109375" style="1" customWidth="1"/>
    <col min="2" max="2" width="22.7109375" style="1" customWidth="1"/>
    <col min="3" max="4" width="18.7109375" style="1" customWidth="1"/>
    <col min="5" max="6" width="16.7109375" style="1" customWidth="1"/>
  </cols>
  <sheetData>
    <row r="1" spans="1:6" ht="38.1" customHeight="1" x14ac:dyDescent="0.25">
      <c r="A1" s="15" t="s">
        <v>117</v>
      </c>
      <c r="B1" s="15"/>
      <c r="C1" s="15"/>
      <c r="D1" s="15"/>
      <c r="E1" s="15"/>
      <c r="F1" s="15"/>
    </row>
    <row r="2" spans="1:6" ht="24" customHeight="1" x14ac:dyDescent="0.25">
      <c r="A2" s="16" t="s">
        <v>118</v>
      </c>
      <c r="B2" s="16"/>
      <c r="C2" s="16"/>
      <c r="D2" s="16"/>
      <c r="E2" s="16"/>
      <c r="F2" s="16"/>
    </row>
    <row r="3" spans="1:6" ht="24" customHeight="1" x14ac:dyDescent="0.25">
      <c r="A3" s="16"/>
      <c r="B3" s="16"/>
      <c r="C3" s="16"/>
      <c r="D3" s="16"/>
      <c r="E3" s="16"/>
      <c r="F3" s="16"/>
    </row>
    <row r="4" spans="1:6" ht="36" customHeight="1" x14ac:dyDescent="0.25">
      <c r="A4" s="4" t="s">
        <v>36</v>
      </c>
      <c r="F4" s="4" t="s">
        <v>119</v>
      </c>
    </row>
    <row r="6" spans="1:6" ht="36" customHeight="1" x14ac:dyDescent="0.25">
      <c r="A6" s="3" t="s">
        <v>120</v>
      </c>
      <c r="B6" s="3" t="s">
        <v>121</v>
      </c>
      <c r="C6" s="3" t="s">
        <v>122</v>
      </c>
      <c r="D6" s="3" t="s">
        <v>123</v>
      </c>
      <c r="E6" s="3" t="s">
        <v>124</v>
      </c>
      <c r="F6" s="3" t="s">
        <v>125</v>
      </c>
    </row>
    <row r="7" spans="1:6" ht="33.950000000000003" customHeight="1" x14ac:dyDescent="0.25">
      <c r="A7" s="1" t="s">
        <v>59</v>
      </c>
      <c r="B7" s="11" t="e" cm="1">
        <f t="array" aca="1" ref="B7" ca="1">_xll.QS.RESULT.VALUE(Bond_C01_Result)</f>
        <v>#VALUE!</v>
      </c>
      <c r="C7" s="12" t="e" cm="1">
        <f t="array" aca="1" ref="C7" ca="1">_xll.QS.RESULT.MODIFIED.DURATION(Bond_C01_Result)</f>
        <v>#VALUE!</v>
      </c>
      <c r="D7" s="13" t="e" cm="1">
        <f t="array" aca="1" ref="D7" ca="1">_xll.QS.RESULT.Z.SPREAD(Bond_C01_Result)</f>
        <v>#VALUE!</v>
      </c>
      <c r="E7" s="4" t="s">
        <v>126</v>
      </c>
      <c r="F7" s="4" t="s">
        <v>127</v>
      </c>
    </row>
    <row r="8" spans="1:6" ht="33.950000000000003" customHeight="1" x14ac:dyDescent="0.25">
      <c r="A8" s="1" t="s">
        <v>61</v>
      </c>
      <c r="B8" s="11" t="e" cm="1">
        <f t="array" aca="1" ref="B8" ca="1">_xll.QS.RESULT.VALUE(Bond_C02_Result)</f>
        <v>#VALUE!</v>
      </c>
      <c r="C8" s="12" t="e" cm="1">
        <f t="array" aca="1" ref="C8" ca="1">_xll.QS.RESULT.MODIFIED.DURATION(Bond_C02_Result)</f>
        <v>#VALUE!</v>
      </c>
      <c r="D8" s="13" t="e" cm="1">
        <f t="array" aca="1" ref="D8" ca="1">_xll.QS.RESULT.Z.SPREAD(Bond_C02_Result)</f>
        <v>#VALUE!</v>
      </c>
      <c r="E8" s="4" t="s">
        <v>126</v>
      </c>
      <c r="F8" s="4" t="s">
        <v>127</v>
      </c>
    </row>
    <row r="9" spans="1:6" ht="33.950000000000003" customHeight="1" x14ac:dyDescent="0.25">
      <c r="A9" s="1" t="s">
        <v>62</v>
      </c>
      <c r="B9" s="11" t="e" cm="1">
        <f t="array" aca="1" ref="B9" ca="1">_xll.QS.RESULT.VALUE(Bond_C03_Result)</f>
        <v>#VALUE!</v>
      </c>
      <c r="C9" s="12" t="e" cm="1">
        <f t="array" aca="1" ref="C9" ca="1">_xll.QS.RESULT.MODIFIED.DURATION(Bond_C03_Result)</f>
        <v>#VALUE!</v>
      </c>
      <c r="D9" s="13" t="e" cm="1">
        <f t="array" aca="1" ref="D9" ca="1">_xll.QS.RESULT.Z.SPREAD(Bond_C03_Result)</f>
        <v>#VALUE!</v>
      </c>
      <c r="E9" s="4" t="s">
        <v>126</v>
      </c>
      <c r="F9" s="4" t="s">
        <v>127</v>
      </c>
    </row>
    <row r="13" spans="1:6" ht="24" customHeight="1" x14ac:dyDescent="0.25">
      <c r="A13" s="2" t="s">
        <v>130</v>
      </c>
      <c r="B13" s="6" t="s">
        <v>59</v>
      </c>
      <c r="C13" s="19" t="s">
        <v>131</v>
      </c>
      <c r="D13" s="19"/>
      <c r="E13" s="19"/>
      <c r="F13" s="19"/>
    </row>
    <row r="14" spans="1:6" ht="24" customHeight="1" x14ac:dyDescent="0.25">
      <c r="C14" s="19"/>
      <c r="D14" s="19"/>
      <c r="E14" s="19"/>
      <c r="F14" s="19"/>
    </row>
    <row r="17" spans="1:6" ht="24" customHeight="1" x14ac:dyDescent="0.25">
      <c r="A17" s="19" t="s">
        <v>134</v>
      </c>
      <c r="B17" s="19"/>
      <c r="C17" s="19"/>
      <c r="D17" s="19"/>
      <c r="E17" s="19"/>
      <c r="F17" s="19"/>
    </row>
    <row r="18" spans="1:6" ht="24" customHeight="1" x14ac:dyDescent="0.25">
      <c r="A18" s="19"/>
      <c r="B18" s="19"/>
      <c r="C18" s="19"/>
      <c r="D18" s="19"/>
      <c r="E18" s="19"/>
      <c r="F18" s="19"/>
    </row>
    <row r="19" spans="1:6" ht="24" customHeight="1" x14ac:dyDescent="0.25">
      <c r="A19" s="19"/>
      <c r="B19" s="19"/>
      <c r="C19" s="19"/>
      <c r="D19" s="19"/>
      <c r="E19" s="19"/>
      <c r="F19" s="19"/>
    </row>
  </sheetData>
  <mergeCells count="4">
    <mergeCell ref="A1:F1"/>
    <mergeCell ref="A2:F3"/>
    <mergeCell ref="C13:F14"/>
    <mergeCell ref="A17:F19"/>
  </mergeCells>
  <dataValidations count="1">
    <dataValidation type="list" allowBlank="1" showInputMessage="1" showErrorMessage="1" sqref="B13" xr:uid="{00000000-0002-0000-0400-000000000000}">
      <formula1>Bond_CaseNames</formula1>
    </dataValidation>
  </dataValidations>
  <hyperlinks>
    <hyperlink ref="A4" location="'Start Here'!A1" display="← Start Here" xr:uid="{00000000-0004-0000-0400-000000000000}"/>
    <hyperlink ref="F4" location="'5 Cashflows'!A1" display="Next → 5 Cashflows" xr:uid="{00000000-0004-0000-0400-000001000000}"/>
    <hyperlink ref="E7" location="'1 Inputs'!C17" display="Edit →" xr:uid="{00000000-0004-0000-0400-000002000000}"/>
    <hyperlink ref="F7" location="'3 Build'!A19" display="Build →" xr:uid="{00000000-0004-0000-0400-000003000000}"/>
    <hyperlink ref="E8" location="'1 Inputs'!C18" display="Edit →" xr:uid="{00000000-0004-0000-0400-000004000000}"/>
    <hyperlink ref="F8" location="'3 Build'!A25" display="Build →" xr:uid="{00000000-0004-0000-0400-000005000000}"/>
    <hyperlink ref="E9" location="'1 Inputs'!C19" display="Edit →" xr:uid="{00000000-0004-0000-0400-000006000000}"/>
    <hyperlink ref="F9" location="'3 Build'!A31" display="Build →" xr:uid="{00000000-0004-0000-0400-000007000000}"/>
  </hyperlinks>
  <pageMargins left="0.3" right="0.3" top="0.4" bottom="0.4" header="0.3" footer="0.3"/>
  <pageSetup paperSize="9" fitToHeight="0" orientation="landscape"/>
  <headerFooter>
    <oddFooter>&amp;LQuantSupport&amp;CCompare the anchored bond positions&amp;R&amp;P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8909C"/>
    <pageSetUpPr fitToPage="1"/>
  </sheetPr>
  <dimension ref="A1:I7"/>
  <sheetViews>
    <sheetView showGridLines="0"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I1"/>
    </sheetView>
  </sheetViews>
  <sheetFormatPr baseColWidth="10" defaultColWidth="9.140625" defaultRowHeight="24" customHeight="1" x14ac:dyDescent="0.25"/>
  <cols>
    <col min="1" max="1" width="16.7109375" style="1" customWidth="1"/>
    <col min="2" max="2" width="28.7109375" style="1" customWidth="1"/>
    <col min="3" max="3" width="18.7109375" style="11" customWidth="1"/>
    <col min="4" max="4" width="12.7109375" style="13" customWidth="1"/>
    <col min="5" max="5" width="12.7109375" style="12" customWidth="1"/>
    <col min="6" max="6" width="12.7109375" style="1" customWidth="1"/>
    <col min="7" max="8" width="12.7109375" style="13" customWidth="1"/>
    <col min="9" max="9" width="8.7109375" style="1" customWidth="1"/>
  </cols>
  <sheetData>
    <row r="1" spans="1:9" ht="38.1" customHeight="1" x14ac:dyDescent="0.25">
      <c r="A1" s="15" t="s">
        <v>135</v>
      </c>
      <c r="B1" s="15"/>
      <c r="C1" s="15"/>
      <c r="D1" s="15"/>
      <c r="E1" s="15"/>
      <c r="F1" s="15"/>
      <c r="G1" s="15"/>
      <c r="H1" s="15"/>
      <c r="I1" s="15"/>
    </row>
    <row r="2" spans="1:9" ht="24" customHeight="1" x14ac:dyDescent="0.25">
      <c r="A2" s="16" t="s">
        <v>136</v>
      </c>
      <c r="B2" s="16"/>
      <c r="C2" s="16"/>
      <c r="D2" s="16"/>
      <c r="E2" s="16"/>
      <c r="F2" s="16"/>
      <c r="G2" s="16"/>
      <c r="H2" s="16"/>
      <c r="I2" s="16"/>
    </row>
    <row r="3" spans="1:9" ht="24" customHeight="1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9" ht="36" customHeight="1" x14ac:dyDescent="0.25">
      <c r="A4" s="4" t="s">
        <v>36</v>
      </c>
      <c r="I4" s="4" t="s">
        <v>137</v>
      </c>
    </row>
    <row r="6" spans="1:9" ht="24" customHeight="1" x14ac:dyDescent="0.25">
      <c r="A6" s="1" t="s">
        <v>138</v>
      </c>
      <c r="B6" s="7" t="str">
        <f>Bond_SelectedCase</f>
        <v>Zero spread</v>
      </c>
      <c r="C6" s="4" t="s">
        <v>139</v>
      </c>
    </row>
    <row r="7" spans="1:9" ht="24" customHeight="1" x14ac:dyDescent="0.25">
      <c r="A7" s="1" t="e" cm="1">
        <f t="array" aca="1" ref="A7" ca="1">_xll.QS.RESULT.CASHFLOWS(Bond_SelectedResult)</f>
        <v>#VALUE!</v>
      </c>
    </row>
  </sheetData>
  <mergeCells count="2">
    <mergeCell ref="A1:I1"/>
    <mergeCell ref="A2:I3"/>
  </mergeCells>
  <hyperlinks>
    <hyperlink ref="A4" location="'Start Here'!A1" display="← Start Here" xr:uid="{00000000-0004-0000-0500-000000000000}"/>
    <hyperlink ref="I4" location="'6 Risk'!A1" display="Next → 6 Risk" xr:uid="{00000000-0004-0000-0500-000001000000}"/>
    <hyperlink ref="C6" location="'4 Results'!B13" display="Change case →" xr:uid="{00000000-0004-0000-0500-000002000000}"/>
  </hyperlinks>
  <pageMargins left="0.3" right="0.3" top="0.4" bottom="0.4" header="0.3" footer="0.3"/>
  <pageSetup paperSize="9" fitToHeight="0" orientation="landscape"/>
  <headerFooter>
    <oddFooter>&amp;LQuantSupport&amp;CSelected bond · cashflows&amp;R&amp;P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8909C"/>
    <pageSetUpPr fitToPage="1"/>
  </sheetPr>
  <dimension ref="A1:C7"/>
  <sheetViews>
    <sheetView showGridLines="0" zoomScale="85" zoomScaleNormal="85" workbookViewId="0">
      <pane xSplit="1" ySplit="7" topLeftCell="B8" activePane="bottomRight" state="frozen"/>
      <selection pane="topRight" activeCell="B1" sqref="B1"/>
      <selection pane="bottomLeft" activeCell="A8" sqref="A8"/>
      <selection pane="bottomRight" sqref="A1:C1"/>
    </sheetView>
  </sheetViews>
  <sheetFormatPr baseColWidth="10" defaultColWidth="9.140625" defaultRowHeight="24" customHeight="1" x14ac:dyDescent="0.25"/>
  <cols>
    <col min="1" max="1" width="62.7109375" style="1" customWidth="1"/>
    <col min="2" max="2" width="24.7109375" style="11" customWidth="1"/>
    <col min="3" max="3" width="24.7109375" style="1" customWidth="1"/>
  </cols>
  <sheetData>
    <row r="1" spans="1:3" ht="38.1" customHeight="1" x14ac:dyDescent="0.25">
      <c r="A1" s="15" t="s">
        <v>140</v>
      </c>
      <c r="B1" s="15"/>
      <c r="C1" s="15"/>
    </row>
    <row r="2" spans="1:3" ht="24" customHeight="1" x14ac:dyDescent="0.25">
      <c r="A2" s="16" t="s">
        <v>141</v>
      </c>
      <c r="B2" s="16"/>
      <c r="C2" s="16"/>
    </row>
    <row r="3" spans="1:3" ht="24" customHeight="1" x14ac:dyDescent="0.25">
      <c r="A3" s="16"/>
      <c r="B3" s="16"/>
      <c r="C3" s="16"/>
    </row>
    <row r="4" spans="1:3" ht="24" customHeight="1" x14ac:dyDescent="0.25">
      <c r="A4" s="4" t="s">
        <v>36</v>
      </c>
    </row>
    <row r="6" spans="1:3" ht="24" customHeight="1" x14ac:dyDescent="0.25">
      <c r="A6" s="1" t="s">
        <v>138</v>
      </c>
      <c r="B6" s="7" t="str">
        <f>Bond_SelectedCase</f>
        <v>Zero spread</v>
      </c>
      <c r="C6" s="4" t="s">
        <v>139</v>
      </c>
    </row>
    <row r="7" spans="1:3" ht="24" customHeight="1" x14ac:dyDescent="0.25">
      <c r="A7" s="1" t="e" cm="1">
        <f t="array" aca="1" ref="A7" ca="1">_xll.QS.RESULT.SENSITIVITIES(Bond_SelectedResult)</f>
        <v>#VALUE!</v>
      </c>
    </row>
  </sheetData>
  <mergeCells count="2">
    <mergeCell ref="A1:C1"/>
    <mergeCell ref="A2:C3"/>
  </mergeCells>
  <hyperlinks>
    <hyperlink ref="A4" location="'Start Here'!A1" display="← Start Here" xr:uid="{00000000-0004-0000-0600-000000000000}"/>
    <hyperlink ref="C6" location="'4 Results'!B13" display="Change case →" xr:uid="{00000000-0004-0000-0600-000001000000}"/>
  </hyperlinks>
  <pageMargins left="0.3" right="0.3" top="0.4" bottom="0.4" header="0.3" footer="0.3"/>
  <pageSetup paperSize="9" fitToHeight="0" orientation="landscape"/>
  <headerFooter>
    <oddFooter>&amp;LQuantSupport&amp;CSelected bond · curve and spread risk&amp;R&amp;P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51</vt:i4>
      </vt:variant>
    </vt:vector>
  </HeadingPairs>
  <TitlesOfParts>
    <vt:vector size="58" baseType="lpstr">
      <vt:lpstr>Start Here</vt:lpstr>
      <vt:lpstr>1 Inputs</vt:lpstr>
      <vt:lpstr>2 Market</vt:lpstr>
      <vt:lpstr>3 Build</vt:lpstr>
      <vt:lpstr>4 Results</vt:lpstr>
      <vt:lpstr>5 Cashflows</vt:lpstr>
      <vt:lpstr>6 Risk</vt:lpstr>
      <vt:lpstr>'Start Here'!Área_de_impresión</vt:lpstr>
      <vt:lpstr>Bond_BaseCurves</vt:lpstr>
      <vt:lpstr>Bond_C01_Anchor</vt:lpstr>
      <vt:lpstr>Bond_C01_AnchorValue</vt:lpstr>
      <vt:lpstr>Bond_C01_Duration</vt:lpstr>
      <vt:lpstr>Bond_C01_PV</vt:lpstr>
      <vt:lpstr>Bond_C01_Result</vt:lpstr>
      <vt:lpstr>Bond_C01_Trade</vt:lpstr>
      <vt:lpstr>Bond_C01_ZSpread</vt:lpstr>
      <vt:lpstr>Bond_C02_Anchor</vt:lpstr>
      <vt:lpstr>Bond_C02_AnchorValue</vt:lpstr>
      <vt:lpstr>Bond_C02_Duration</vt:lpstr>
      <vt:lpstr>Bond_C02_PV</vt:lpstr>
      <vt:lpstr>Bond_C02_Result</vt:lpstr>
      <vt:lpstr>Bond_C02_Trade</vt:lpstr>
      <vt:lpstr>Bond_C02_ZSpread</vt:lpstr>
      <vt:lpstr>Bond_C03_Anchor</vt:lpstr>
      <vt:lpstr>Bond_C03_AnchorValue</vt:lpstr>
      <vt:lpstr>Bond_C03_Duration</vt:lpstr>
      <vt:lpstr>Bond_C03_PV</vt:lpstr>
      <vt:lpstr>Bond_C03_Result</vt:lpstr>
      <vt:lpstr>Bond_C03_Trade</vt:lpstr>
      <vt:lpstr>Bond_C03_ZSpread</vt:lpstr>
      <vt:lpstr>Bond_CaseNames</vt:lpstr>
      <vt:lpstr>Bond_Context</vt:lpstr>
      <vt:lpstr>Bond_Coupon</vt:lpstr>
      <vt:lpstr>Bond_DiscountCurrency</vt:lpstr>
      <vt:lpstr>Bond_DiscountIndex</vt:lpstr>
      <vt:lpstr>Bond_DiscountMapping</vt:lpstr>
      <vt:lpstr>Bond_Instrument</vt:lpstr>
      <vt:lpstr>Bond_MarketInputs</vt:lpstr>
      <vt:lpstr>Bond_Maturity</vt:lpstr>
      <vt:lpstr>Bond_Notional</vt:lpstr>
      <vt:lpstr>Bond_Pillars</vt:lpstr>
      <vt:lpstr>Bond_Policy</vt:lpstr>
      <vt:lpstr>Bond_Pricer</vt:lpstr>
      <vt:lpstr>Bond_Requests</vt:lpstr>
      <vt:lpstr>Bond_ResultHandles</vt:lpstr>
      <vt:lpstr>Bond_Root</vt:lpstr>
      <vt:lpstr>Bond_SelectedCase</vt:lpstr>
      <vt:lpstr>Bond_SelectedResult</vt:lpstr>
      <vt:lpstr>Bond_Side</vt:lpstr>
      <vt:lpstr>Bond_Start</vt:lpstr>
      <vt:lpstr>Bond_ValuationDate</vt:lpstr>
      <vt:lpstr>Bond_ZeroRates</vt:lpstr>
      <vt:lpstr>'1 Inputs'!Títulos_a_imprimir</vt:lpstr>
      <vt:lpstr>'2 Market'!Títulos_a_imprimir</vt:lpstr>
      <vt:lpstr>'3 Build'!Títulos_a_imprimir</vt:lpstr>
      <vt:lpstr>'4 Results'!Títulos_a_imprimir</vt:lpstr>
      <vt:lpstr>'5 Cashflows'!Títulos_a_imprimir</vt:lpstr>
      <vt:lpstr>'6 Risk'!Títulos_a_imprimir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Bond anchors · contract, trade and value</dc:title>
  <dc:creator/>
  <cp:lastModifiedBy>Jose Pedro Melo</cp:lastModifiedBy>
  <dcterms:created xsi:type="dcterms:W3CDTF">2026-01-01T00:00:00Z</dcterms:created>
  <dcterms:modified xsi:type="dcterms:W3CDTF">2026-10-24T10:59:22Z</dcterms:modified>
</cp:coreProperties>
</file>