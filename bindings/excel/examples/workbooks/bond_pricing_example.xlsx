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Market'!$B$21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DiscountCurrency">'1 Inputs'!$A$31</definedName>
    <definedName name="Bond_DiscountIndex">'1 Inputs'!$B$31</definedName>
    <definedName name="Bond_DiscountMapping">'1 Inputs'!$A$31:$B$31</definedName>
    <definedName name="Bond_Instrument">'3 Build'!$B$10</definedName>
    <definedName name="Bond_MarketInputs">'2 Market'!$B$21:$B$23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Requests">'1 Inputs'!$A$23:$A$27</definedName>
    <definedName name="Bond_ResultHandles">'3 Build'!$B$40:$B$42</definedName>
    <definedName name="Bond_Root">'2 Market'!$B$18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Owns the market stores and date.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Every addition references the same root; fields are separate arrays.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<sst xmlns="http://schemas.openxmlformats.org/spreadsheetml/2006/main" count="169" uniqueCount="142">
  <si>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</si>
  <si>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</si>
  <si>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</si>
  <si>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</si>
  <si>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</si>
  <si>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</si>
  <si>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</si>
  <si>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</si>
  <si>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</si>
  <si>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</si>
  <si>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</si>
  <si>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</si>
  <si>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</si>
  <si>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</si>
  <si>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</si>
  <si>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</si>
  <si>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</si>
  <si>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</si>
  <si>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</si>
  <si>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</si>
  <si>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</si>
  <si>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</si>
  <si>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</si>
  <si>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</si>
  <si>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</si>
  <si>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</si>
  <si>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</si>
  <si>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</si>
  <si>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</si>
  <si>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</si>
  <si>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</si>
  <si>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</si>
  <si>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</si>
  <si>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</si>
  <si>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</si>
  <si>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</si>
  <si>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</si>
  <si>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</si>
  <si>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</si>
  <si>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</si>
  <si>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</si>
  <si>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</si>
  <si>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</si>
  <si>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</si>
  <si>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</si>
  <si>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</si>
  <si>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</si>
  <si>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</si>
  <si>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</si>
  <si>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</si>
  <si>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</si>
  <si>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</si>
  <si>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</si>
  <si>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</si>
  <si>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</si>
  <si>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</si>
  <si>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</si>
  <si>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</si>
  <si>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</si>
  <si>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</si>
  <si>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</si>
  <si>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</si>
  <si>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</si>
  <si>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</si>
  <si>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</si>
  <si>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</si>
  <si>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</si>
  <si>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</si>
  <si>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</si>
  <si>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</si>
  <si>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</si>
  <si>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</si>
  <si>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</si>
  <si>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</si>
  <si>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</si>
  <si>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</si>
  <si>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</si>
  <si>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</si>
  <si>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</si>
  <si>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</si>
  <si>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</si>
  <si>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</si>
  <si>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</si>
  <si>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</si>
  <si>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</si>
  <si>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</si>
  <si>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</si>
  <si>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</si>
  <si>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</si>
  <si>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</si>
  <si>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</si>
  <si>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</si>
  <si>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root context</t>
  </si>
  <si>
    <t>Owns the market stores and date.</t>
  </si>
  <si>
    <t>Add SOFR</t>
  </si>
  <si>
    <t>Every addition references the same root; fields are separate arrays.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</si>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</sst>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3.75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3.75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.25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.25" customHeight="1">
      <c r="A23" s="5" t="s">
        <v>29</v>
      </c>
      <c r="B23" s="5"/>
      <c r="C23" s="5"/>
      <c r="D23" s="5"/>
      <c r="E23" s="5"/>
      <c r="F23" s="5"/>
    </row>
    <row r="24" spans="1:6" ht="33.75" customHeight="1">
      <c r="A24" s="1" t="s">
        <v>30</v>
      </c>
      <c r="B24" s="1"/>
      <c r="C24" s="1"/>
      <c r="D24" s="1"/>
      <c r="E24" s="1"/>
      <c r="F24" s="1"/>
    </row>
    <row r="25" spans="1:6" ht="33.75" customHeight="1">
      <c r="A25" s="1" t="s">
        <v>31</v>
      </c>
      <c r="B25" s="1"/>
      <c r="C25" s="1"/>
      <c r="D25" s="1"/>
      <c r="E25" s="1"/>
      <c r="F25" s="1"/>
    </row>
    <row r="26" spans="1:6" ht="33.75" customHeight="1">
      <c r="A26" s="1" t="s">
        <v>32</v>
      </c>
      <c r="B26" s="1"/>
      <c r="C26" s="1"/>
      <c r="D26" s="1"/>
      <c r="E26" s="1"/>
      <c r="F26" s="1"/>
    </row>
    <row r="28" spans="1:6" ht="26.25" customHeight="1">
      <c r="A28" s="7" t="s">
        <v>33</v>
      </c>
      <c r="B28" s="7"/>
      <c r="C28" s="7"/>
      <c r="D28" s="7"/>
      <c r="E28" s="7"/>
      <c r="F28" s="7"/>
    </row>
    <row r="29" spans="1:6" ht="26.25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.25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.25" customHeight="1">
      <c r="A7" s="1" t="s">
        <v>41</v>
      </c>
      <c r="B7" s="8" t="s">
        <v>42</v>
      </c>
      <c r="C7" s="7" t="s">
        <v>43</v>
      </c>
    </row>
    <row r="8" spans="1:3" ht="32.25" customHeight="1">
      <c r="A8" s="1" t="s">
        <v>44</v>
      </c>
      <c r="B8" s="8" t="s">
        <v>42</v>
      </c>
      <c r="C8" s="7" t="s">
        <v>45</v>
      </c>
    </row>
    <row r="9" spans="1:3" ht="32.25" customHeight="1">
      <c r="A9" s="1" t="s">
        <v>46</v>
      </c>
      <c r="B9" s="8" t="s">
        <v>47</v>
      </c>
      <c r="C9" s="7" t="s">
        <v>48</v>
      </c>
    </row>
    <row r="10" spans="1:3" ht="32.25" customHeight="1">
      <c r="A10" s="1" t="s">
        <v>49</v>
      </c>
      <c r="B10" s="11">
        <v>1000000</v>
      </c>
      <c r="C10" s="7" t="s">
        <v>50</v>
      </c>
    </row>
    <row r="11" spans="1:3" ht="32.25" customHeight="1">
      <c r="A11" s="1" t="s">
        <v>51</v>
      </c>
      <c r="B11" s="12">
        <v>0.04</v>
      </c>
      <c r="C11" s="7" t="s">
        <v>52</v>
      </c>
    </row>
    <row r="12" spans="1:3" ht="32.25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2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.25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.25" customHeight="1">
      <c r="A18" s="4" t="s">
        <v>92</v>
      </c>
      <c r="B18" s="10" cm="1" t="str">
        <f t="array" ref="B18">_xll.QS.CONTEXT.CREATE("Bond.Root",Bond_ValuationDate,"USD","SOFR")</f>
        <v/>
      </c>
      <c r="C18" s="7" t="s">
        <v>93</v>
      </c>
    </row>
    <row r="19" spans="1:3" ht="33.75" customHeight="1">
      <c r="A19" s="13" t="str">
        <f>SUBSTITUTE(_xlfn.FORMULATEXT(B18),",",", ")</f>
        <v>=QS.CONTEXT.CREATE("Bond.Root", Bond_ValuationDate, "USD", "SOFR")</v>
      </c>
      <c r="B19" s="13"/>
      <c r="C19" s="13"/>
    </row>
    <row r="21" spans="1:3" ht="38.25" customHeight="1">
      <c r="A21" s="4" t="s">
        <v>94</v>
      </c>
      <c r="B21" s="10" cm="1" t="str">
        <f t="array" ref="B21">_xll.QS.CONTEXT.ADD.ZERO.CURVE(Bond_Root,"SOFR",Bond_Pillars,Bond_ZeroRates,"Actual360","Continuous","Annual","Linear",TRUE)</f>
        <v/>
      </c>
      <c r="C21" s="7" t="s">
        <v>95</v>
      </c>
    </row>
    <row r="22" spans="1:3" ht="33.75" customHeight="1">
      <c r="A22" s="13" t="str">
        <f>SUBSTITUTE(_xlfn.FORMULATEXT(B21),",",", ")</f>
        <v>=QS.CONTEXT.ADD.ZERO.CURVE(Bond_Root, "SOFR", Bond_Pillars, Bond_ZeroRates, "Actual360", "Continuous", "Annual", "Linear", TRUE)</v>
      </c>
      <c r="B22" s="13"/>
      <c r="C22" s="13"/>
    </row>
  </sheetData>
  <mergeCells count="5">
    <mergeCell ref="A1:C1"/>
    <mergeCell ref="A2:C3"/>
    <mergeCell ref="A13:C14"/>
    <mergeCell ref="A19:C19"/>
    <mergeCell ref="A22:C22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96</v>
      </c>
      <c r="B1" s="2"/>
      <c r="C1" s="2"/>
    </row>
    <row r="2" spans="1:3" ht="24" customHeight="1">
      <c r="A2" s="3" t="s">
        <v>97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98</v>
      </c>
    </row>
    <row r="6" spans="1:3" ht="36" customHeight="1">
      <c r="A6" s="5" t="s">
        <v>99</v>
      </c>
      <c r="B6" s="5" t="s">
        <v>90</v>
      </c>
      <c r="C6" s="5" t="s">
        <v>100</v>
      </c>
    </row>
    <row r="7" spans="1:3" ht="38.25" customHeight="1">
      <c r="A7" s="4" t="s">
        <v>101</v>
      </c>
      <c r="B7" s="10">
        <f>Bond_Root</f>
        <v/>
      </c>
      <c r="C7" s="7" t="s">
        <v>102</v>
      </c>
    </row>
    <row r="8" spans="1:3" ht="33.75" customHeight="1">
      <c r="A8" s="13" t="str">
        <f>SUBSTITUTE(_xlfn.FORMULATEXT(B7),",",", ")</f>
        <v>=Bond_Root</v>
      </c>
      <c r="B8" s="13"/>
      <c r="C8" s="13"/>
    </row>
    <row r="10" spans="1:3" ht="38.25" customHeight="1">
      <c r="A10" s="4" t="s">
        <v>103</v>
      </c>
      <c r="B10" s="10" cm="1" t="str">
        <f t="array" ref="B10">_xll.QS.INSTRUMENT.FIXED.RATE.BOND("Bond.Instrument",Bond_Context,Bond_Start,Bond_Maturity,"USD",,Bond_Notional,Bond_Coupon,"Actual360","Compounded","Semiannual","Semiannual")</f>
        <v/>
      </c>
      <c r="C10" s="7" t="s">
        <v>104</v>
      </c>
    </row>
    <row r="11" spans="1:3" ht="48" customHeight="1">
      <c r="A11" s="13" t="str">
        <f>SUBSTITUTE(_xlfn.FORMULATEXT(B10),",",", ")</f>
        <v>=QS.INSTRUMENT.FIXED.RATE.BOND("Bond.Instrument", Bond_Context, Bond_Start, Bond_Maturity, "USD", , Bond_Notional, Bond_Coupon, "Actual360", "Compounded", "Semiannual", "Semiannual")</v>
      </c>
      <c r="B11" s="13"/>
      <c r="C11" s="13"/>
    </row>
    <row r="13" spans="1:3" ht="38.25" customHeight="1">
      <c r="A13" s="4" t="s">
        <v>105</v>
      </c>
      <c r="B13" s="10" cm="1" t="str">
        <f t="array" ref="B13">_xll.QS.DISCOUNT.POLICY.FIXED.INCOME("Bond.Policy",Bond_DiscountCurrency,Bond_DiscountIndex)</f>
        <v/>
      </c>
      <c r="C13" s="7" t="s">
        <v>106</v>
      </c>
    </row>
    <row r="14" spans="1:3" ht="33.75" customHeight="1">
      <c r="A14" s="13" t="str">
        <f>SUBSTITUTE(_xlfn.FORMULATEXT(B13),",",", ")</f>
        <v>=QS.DISCOUNT.POLICY.FIXED.INCOME("Bond.Policy", Bond_DiscountCurrency, Bond_DiscountIndex)</v>
      </c>
      <c r="B14" s="13"/>
      <c r="C14" s="13"/>
    </row>
    <row r="16" spans="1:3" ht="38.25" customHeight="1">
      <c r="A16" s="4" t="s">
        <v>107</v>
      </c>
      <c r="B16" s="10" cm="1" t="str">
        <f t="array" ref="B16">_xll.QS.PRICER.CREATE("Bond.Pricer","BondPricer",Bond_Policy)</f>
        <v/>
      </c>
      <c r="C16" s="7" t="s">
        <v>108</v>
      </c>
    </row>
    <row r="17" spans="1:3" ht="33.75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.25" customHeight="1">
      <c r="A19" s="4" t="s">
        <v>109</v>
      </c>
      <c r="B19" s="10" cm="1" t="str">
        <f t="array" ref="B19">_xll.QS.TRADE.CREATE("Bond.C01.Trade",Bond_Context,Bond_Instrument,Bond_ValuationDate,Bond_Side,,,Bond_C01_Anchor,Bond_C01_AnchorValue)</f>
        <v/>
      </c>
      <c r="C19" s="7" t="s">
        <v>110</v>
      </c>
    </row>
    <row r="20" spans="1:3" ht="33.75" customHeight="1">
      <c r="A20" s="13" t="str">
        <f>SUBSTITUTE(_xlfn.FORMULATEXT(B19),",",", ")</f>
        <v>=QS.TRADE.CREATE("Bond.C01.Trade", Bond_Context, Bond_Instrument, Bond_ValuationDate, Bond_Side, , , Bond_C01_Anchor, Bond_C01_AnchorValue)</v>
      </c>
      <c r="B20" s="13"/>
      <c r="C20" s="13"/>
    </row>
    <row r="22" spans="1:3" ht="38.25" customHeight="1">
      <c r="A22" s="4" t="s">
        <v>111</v>
      </c>
      <c r="B22" s="10" cm="1" t="str">
        <f t="array" ref="B22">_xll.QS.EVALUATE.RESULTS(Bond_Context,Bond_C01_Trade,Bond_Requests,Bond_Pricer)</f>
        <v/>
      </c>
      <c r="C22" s="7" t="s">
        <v>112</v>
      </c>
    </row>
    <row r="23" spans="1:3" ht="33.75" customHeight="1">
      <c r="A23" s="13" t="str">
        <f>SUBSTITUTE(_xlfn.FORMULATEXT(B22),",",", ")</f>
        <v>=QS.EVALUATE.RESULTS(Bond_Context, Bond_C01_Trade, Bond_Requests, Bond_Pricer)</v>
      </c>
      <c r="B23" s="13"/>
      <c r="C23" s="13"/>
    </row>
    <row r="25" spans="1:3" ht="38.25" customHeight="1">
      <c r="A25" s="4" t="s">
        <v>113</v>
      </c>
      <c r="B25" s="10" cm="1" t="str">
        <f t="array" ref="B25">_xll.QS.TRADE.CREATE("Bond.C02.Trade",Bond_Context,Bond_Instrument,Bond_ValuationDate,Bond_Side,,,Bond_C02_Anchor,Bond_C02_AnchorValue)</f>
        <v/>
      </c>
      <c r="C25" s="7" t="s">
        <v>110</v>
      </c>
    </row>
    <row r="26" spans="1:3" ht="33.75" customHeight="1">
      <c r="A26" s="13" t="str">
        <f>SUBSTITUTE(_xlfn.FORMULATEXT(B25),",",", ")</f>
        <v>=QS.TRADE.CREATE("Bond.C02.Trade", Bond_Context, Bond_Instrument, Bond_ValuationDate, Bond_Side, , , Bond_C02_Anchor, Bond_C02_AnchorValue)</v>
      </c>
      <c r="B26" s="13"/>
      <c r="C26" s="13"/>
    </row>
    <row r="28" spans="1:3" ht="38.25" customHeight="1">
      <c r="A28" s="4" t="s">
        <v>114</v>
      </c>
      <c r="B28" s="10" cm="1" t="str">
        <f t="array" ref="B28">_xll.QS.EVALUATE.RESULTS(Bond_Context,Bond_C02_Trade,Bond_Requests,Bond_Pricer)</f>
        <v/>
      </c>
      <c r="C28" s="7" t="s">
        <v>112</v>
      </c>
    </row>
    <row r="29" spans="1:3" ht="33.75" customHeight="1">
      <c r="A29" s="13" t="str">
        <f>SUBSTITUTE(_xlfn.FORMULATEXT(B28),",",", ")</f>
        <v>=QS.EVALUATE.RESULTS(Bond_Context, Bond_C02_Trade, Bond_Requests, Bond_Pricer)</v>
      </c>
      <c r="B29" s="13"/>
      <c r="C29" s="13"/>
    </row>
    <row r="31" spans="1:3" ht="38.25" customHeight="1">
      <c r="A31" s="4" t="s">
        <v>115</v>
      </c>
      <c r="B31" s="10" cm="1" t="str">
        <f t="array" ref="B31">_xll.QS.TRADE.CREATE("Bond.C03.Trade",Bond_Context,Bond_Instrument,Bond_ValuationDate,Bond_Side,,,Bond_C03_Anchor,Bond_C03_AnchorValue)</f>
        <v/>
      </c>
      <c r="C31" s="7" t="s">
        <v>110</v>
      </c>
    </row>
    <row r="32" spans="1:3" ht="33.75" customHeight="1">
      <c r="A32" s="13" t="str">
        <f>SUBSTITUTE(_xlfn.FORMULATEXT(B31),",",", ")</f>
        <v>=QS.TRADE.CREATE("Bond.C03.Trade", Bond_Context, Bond_Instrument, Bond_ValuationDate, Bond_Side, , , Bond_C03_Anchor, Bond_C03_AnchorValue)</v>
      </c>
      <c r="B32" s="13"/>
      <c r="C32" s="13"/>
    </row>
    <row r="34" spans="1:3" ht="38.25" customHeight="1">
      <c r="A34" s="4" t="s">
        <v>116</v>
      </c>
      <c r="B34" s="10" cm="1" t="str">
        <f t="array" ref="B34">_xll.QS.EVALUATE.RESULTS(Bond_Context,Bond_C03_Trade,Bond_Requests,Bond_Pricer)</f>
        <v/>
      </c>
      <c r="C34" s="7" t="s">
        <v>112</v>
      </c>
    </row>
    <row r="35" spans="1:3" ht="33.75" customHeight="1">
      <c r="A35" s="13" t="str">
        <f>SUBSTITUTE(_xlfn.FORMULATEXT(B34),",",", ")</f>
        <v>=QS.EVALUATE.RESULTS(Bond_Context, Bond_C03_Trade, Bond_Requests, Bond_Pricer)</v>
      </c>
      <c r="B35" s="13"/>
      <c r="C35" s="13"/>
    </row>
    <row r="39" spans="1:3" ht="36" customHeight="1">
      <c r="A39" s="5" t="s">
        <v>128</v>
      </c>
      <c r="B39" s="5" t="s">
        <v>129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.25" customHeight="1">
      <c r="A45" s="4" t="s">
        <v>132</v>
      </c>
      <c r="B45" s="10">
        <f>INDEX(Bond_ResultHandles,MATCH(Bond_SelectedCase,Bond_CaseNames,0))</f>
        <v/>
      </c>
      <c r="C45" s="7" t="s">
        <v>133</v>
      </c>
    </row>
    <row r="46" spans="1:3" ht="33.75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.25" customHeight="1">
      <c r="A1" s="2" t="s">
        <v>117</v>
      </c>
      <c r="B1" s="2"/>
      <c r="C1" s="2"/>
      <c r="D1" s="2"/>
      <c r="E1" s="2"/>
      <c r="F1" s="2"/>
    </row>
    <row r="2" spans="1:6" ht="24" customHeight="1">
      <c r="A2" s="3" t="s">
        <v>118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119</v>
      </c>
    </row>
    <row r="6" spans="1:6" ht="36" customHeight="1">
      <c r="A6" s="5" t="s">
        <v>120</v>
      </c>
      <c r="B6" s="5" t="s">
        <v>121</v>
      </c>
      <c r="C6" s="5" t="s">
        <v>122</v>
      </c>
      <c r="D6" s="5" t="s">
        <v>123</v>
      </c>
      <c r="E6" s="5" t="s">
        <v>124</v>
      </c>
      <c r="F6" s="5" t="s">
        <v>125</v>
      </c>
    </row>
    <row r="7" spans="1:6" ht="33.75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126</v>
      </c>
      <c r="F7" s="6" t="s">
        <v>127</v>
      </c>
    </row>
    <row r="8" spans="1:6" ht="33.75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126</v>
      </c>
      <c r="F8" s="6" t="s">
        <v>127</v>
      </c>
    </row>
    <row r="9" spans="1:6" ht="33.75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126</v>
      </c>
      <c r="F9" s="6" t="s">
        <v>127</v>
      </c>
    </row>
    <row r="13" spans="1:6" ht="24" customHeight="1">
      <c r="A13" s="4" t="s">
        <v>130</v>
      </c>
      <c r="B13" s="8" t="s">
        <v>59</v>
      </c>
      <c r="C13" s="7" t="s">
        <v>131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134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.25" customHeight="1">
      <c r="A1" s="2" t="s">
        <v>135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136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137</v>
      </c>
    </row>
    <row r="6" spans="1:9" ht="24" customHeight="1">
      <c r="A6" s="1" t="s">
        <v>138</v>
      </c>
      <c r="B6" s="9">
        <f>Bond_SelectedCase</f>
        <v/>
      </c>
      <c r="C6" s="6" t="s">
        <v>139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.25" customHeight="1">
      <c r="A1" s="2" t="s">
        <v>140</v>
      </c>
      <c r="B1" s="2"/>
      <c r="C1" s="2"/>
    </row>
    <row r="2" spans="1:3" ht="24" customHeight="1">
      <c r="A2" s="3" t="s">
        <v>141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138</v>
      </c>
      <c r="B6" s="9">
        <f>Bond_SelectedCase</f>
        <v/>
      </c>
      <c r="C6" s="6" t="s">
        <v>139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51</vt:i4>
      </vt:variant>
    </vt:vector>
  </HeadingPairs>
  <TitlesOfParts>
    <vt:vector size="58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Bond_DiscountCurrency</vt:lpstr>
      <vt:lpstr>Bond_DiscountIndex</vt:lpstr>
      <vt:lpstr>Bond_DiscountMapping</vt:lpstr>
      <vt:lpstr>Bond_Instrument</vt:lpstr>
      <vt:lpstr>Bond_MarketInputs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Bond_Root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