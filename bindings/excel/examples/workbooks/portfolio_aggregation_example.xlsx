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6018bc907cdb526/Escritorio/Pega/quantsupport/bindings/excel/examples/"/>
    </mc:Choice>
  </mc:AlternateContent>
  <xr:revisionPtr revIDLastSave="2" documentId="11_6763025740B1A133E0263D5BDED076BB3B50E021" xr6:coauthVersionLast="47" xr6:coauthVersionMax="47" xr10:uidLastSave="{A4DD542A-03DA-4588-87D3-3690468D49E0}"/>
  <bookViews>
    <workbookView xWindow="-120" yWindow="-120" windowWidth="29040" windowHeight="15720" activeTab="3" xr2:uid="{00000000-000D-0000-FFFF-FFFF00000000}"/>
  </bookViews>
  <sheets>
    <sheet name="Start Here" sheetId="1" r:id="rId1"/>
    <sheet name="1 Positions" sheetId="2" r:id="rId2"/>
    <sheet name="2 Market" sheetId="3" r:id="rId3"/>
    <sheet name="3 Build" sheetId="4" r:id="rId4"/>
    <sheet name="4 Results" sheetId="5" r:id="rId5"/>
    <sheet name="5 Coupons" sheetId="6" r:id="rId6"/>
    <sheet name="6 Cashflows" sheetId="7" r:id="rId7"/>
    <sheet name="7 Risk" sheetId="8" r:id="rId8"/>
  </sheets>
  <definedNames>
    <definedName name="_xlnm.Print_Area" localSheetId="0">'Start Here'!$A$1:$F$30</definedName>
    <definedName name="Portfolio_Book">'3 Build'!$B$79</definedName>
    <definedName name="Portfolio_C01_Index">'1 Positions'!$F$17</definedName>
    <definedName name="Portfolio_C01_Instrument">'3 Build'!$B$16</definedName>
    <definedName name="Portfolio_C01_Kind">'1 Positions'!$B$17</definedName>
    <definedName name="Portfolio_C01_Maturity">'1 Positions'!$H$17</definedName>
    <definedName name="Portfolio_C01_Name">'1 Positions'!$A$17</definedName>
    <definedName name="Portfolio_C01_Notional">'1 Positions'!$C$17</definedName>
    <definedName name="Portfolio_C01_PV">'4 Results'!$B$21</definedName>
    <definedName name="Portfolio_C01_Rate">'1 Positions'!$D$17</definedName>
    <definedName name="Portfolio_C01_Result">'3 Build'!$B$22</definedName>
    <definedName name="Portfolio_C01_Side">'1 Positions'!$G$17</definedName>
    <definedName name="Portfolio_C01_Spread">'1 Positions'!$E$17</definedName>
    <definedName name="Portfolio_C01_Trade">'3 Build'!$B$19</definedName>
    <definedName name="Portfolio_C02_Index">'1 Positions'!$F$18</definedName>
    <definedName name="Portfolio_C02_Instrument">'3 Build'!$B$25</definedName>
    <definedName name="Portfolio_C02_Kind">'1 Positions'!$B$18</definedName>
    <definedName name="Portfolio_C02_Maturity">'1 Positions'!$H$18</definedName>
    <definedName name="Portfolio_C02_Name">'1 Positions'!$A$18</definedName>
    <definedName name="Portfolio_C02_Notional">'1 Positions'!$C$18</definedName>
    <definedName name="Portfolio_C02_PV">'4 Results'!$B$22</definedName>
    <definedName name="Portfolio_C02_Rate">'1 Positions'!$D$18</definedName>
    <definedName name="Portfolio_C02_Result">'3 Build'!$B$31</definedName>
    <definedName name="Portfolio_C02_Side">'1 Positions'!$G$18</definedName>
    <definedName name="Portfolio_C02_Spread">'1 Positions'!$E$18</definedName>
    <definedName name="Portfolio_C02_Trade">'3 Build'!$B$28</definedName>
    <definedName name="Portfolio_C03_Index">'1 Positions'!$F$19</definedName>
    <definedName name="Portfolio_C03_Instrument">'3 Build'!$B$34</definedName>
    <definedName name="Portfolio_C03_Kind">'1 Positions'!$B$19</definedName>
    <definedName name="Portfolio_C03_Maturity">'1 Positions'!$H$19</definedName>
    <definedName name="Portfolio_C03_Name">'1 Positions'!$A$19</definedName>
    <definedName name="Portfolio_C03_Notional">'1 Positions'!$C$19</definedName>
    <definedName name="Portfolio_C03_PV">'4 Results'!$B$23</definedName>
    <definedName name="Portfolio_C03_Rate">'1 Positions'!$D$19</definedName>
    <definedName name="Portfolio_C03_Result">'3 Build'!$B$40</definedName>
    <definedName name="Portfolio_C03_Side">'1 Positions'!$G$19</definedName>
    <definedName name="Portfolio_C03_Spread">'1 Positions'!$E$19</definedName>
    <definedName name="Portfolio_C03_Trade">'3 Build'!$B$37</definedName>
    <definedName name="Portfolio_C04_Index">'1 Positions'!$F$20</definedName>
    <definedName name="Portfolio_C04_Instrument">'3 Build'!$B$43</definedName>
    <definedName name="Portfolio_C04_Kind">'1 Positions'!$B$20</definedName>
    <definedName name="Portfolio_C04_Maturity">'1 Positions'!$H$20</definedName>
    <definedName name="Portfolio_C04_Name">'1 Positions'!$A$20</definedName>
    <definedName name="Portfolio_C04_Notional">'1 Positions'!$C$20</definedName>
    <definedName name="Portfolio_C04_PV">'4 Results'!$B$24</definedName>
    <definedName name="Portfolio_C04_Rate">'1 Positions'!$D$20</definedName>
    <definedName name="Portfolio_C04_Result">'3 Build'!$B$49</definedName>
    <definedName name="Portfolio_C04_Side">'1 Positions'!$G$20</definedName>
    <definedName name="Portfolio_C04_Spread">'1 Positions'!$E$20</definedName>
    <definedName name="Portfolio_C04_Trade">'3 Build'!$B$46</definedName>
    <definedName name="Portfolio_C05_Index">'1 Positions'!$F$21</definedName>
    <definedName name="Portfolio_C05_Instrument">'3 Build'!$B$52</definedName>
    <definedName name="Portfolio_C05_Kind">'1 Positions'!$B$21</definedName>
    <definedName name="Portfolio_C05_Maturity">'1 Positions'!$H$21</definedName>
    <definedName name="Portfolio_C05_Name">'1 Positions'!$A$21</definedName>
    <definedName name="Portfolio_C05_Notional">'1 Positions'!$C$21</definedName>
    <definedName name="Portfolio_C05_PV">'4 Results'!$B$25</definedName>
    <definedName name="Portfolio_C05_Rate">'1 Positions'!$D$21</definedName>
    <definedName name="Portfolio_C05_Result">'3 Build'!$B$58</definedName>
    <definedName name="Portfolio_C05_Side">'1 Positions'!$G$21</definedName>
    <definedName name="Portfolio_C05_Spread">'1 Positions'!$E$21</definedName>
    <definedName name="Portfolio_C05_Trade">'3 Build'!$B$55</definedName>
    <definedName name="Portfolio_C06_Index">'1 Positions'!$F$22</definedName>
    <definedName name="Portfolio_C06_Instrument">'3 Build'!$B$61</definedName>
    <definedName name="Portfolio_C06_Kind">'1 Positions'!$B$22</definedName>
    <definedName name="Portfolio_C06_Maturity">'1 Positions'!$H$22</definedName>
    <definedName name="Portfolio_C06_Name">'1 Positions'!$A$22</definedName>
    <definedName name="Portfolio_C06_Notional">'1 Positions'!$C$22</definedName>
    <definedName name="Portfolio_C06_PV">'4 Results'!$B$26</definedName>
    <definedName name="Portfolio_C06_Rate">'1 Positions'!$D$22</definedName>
    <definedName name="Portfolio_C06_Result">'3 Build'!$B$67</definedName>
    <definedName name="Portfolio_C06_Side">'1 Positions'!$G$22</definedName>
    <definedName name="Portfolio_C06_Spread">'1 Positions'!$E$22</definedName>
    <definedName name="Portfolio_C06_Trade">'3 Build'!$B$64</definedName>
    <definedName name="Portfolio_Context">'3 Build'!$B$7</definedName>
    <definedName name="Portfolio_Currency">'1 Positions'!$B$11</definedName>
    <definedName name="Portfolio_Curves">'2 Market'!$B$19</definedName>
    <definedName name="Portfolio_DepositMaturity">'1 Positions'!$B$9</definedName>
    <definedName name="Portfolio_DepositRate">'4 Results'!$B$11</definedName>
    <definedName name="Portfolio_MarketInputs">'2 Market'!$B$16:$B$21</definedName>
    <definedName name="Portfolio_Members">'3 Build'!$B$71:$B$76</definedName>
    <definedName name="Portfolio_Pillars">'2 Market'!$A$7:$A$9</definedName>
    <definedName name="Portfolio_Policy">'3 Build'!$B$10</definedName>
    <definedName name="Portfolio_Pricer">'3 Build'!$B$13</definedName>
    <definedName name="Portfolio_PV">'4 Results'!$B$7</definedName>
    <definedName name="Portfolio_PVDifference">'4 Results'!$B$9</definedName>
    <definedName name="Portfolio_Requests">'1 Positions'!$A$28:$A$30</definedName>
    <definedName name="Portfolio_Result">'3 Build'!$B$82</definedName>
    <definedName name="Portfolio_Root">'2 Market'!$B$13</definedName>
    <definedName name="Portfolio_SofrCurves">'2 Market'!$B$16</definedName>
    <definedName name="Portfolio_SofrRates">'2 Market'!$B$7:$B$9</definedName>
    <definedName name="Portfolio_SofrSpread">'4 Results'!$B$12</definedName>
    <definedName name="Portfolio_Start">'1 Positions'!$B$8</definedName>
    <definedName name="Portfolio_SumPV">'4 Results'!$B$8</definedName>
    <definedName name="Portfolio_SwapMaturity">'1 Positions'!$B$10</definedName>
    <definedName name="Portfolio_TermRates">'2 Market'!$C$7:$C$9</definedName>
    <definedName name="Portfolio_ValuationDate">'1 Positions'!$B$7</definedName>
    <definedName name="_xlnm.Print_Titles" localSheetId="1">'1 Positions'!$1:$6</definedName>
    <definedName name="_xlnm.Print_Titles" localSheetId="2">'2 Market'!$1:$6</definedName>
    <definedName name="_xlnm.Print_Titles" localSheetId="3">'3 Build'!$1:$6</definedName>
    <definedName name="_xlnm.Print_Titles" localSheetId="4">'4 Results'!$1:$6</definedName>
    <definedName name="_xlnm.Print_Titles" localSheetId="5">'5 Coupons'!$1:$6</definedName>
    <definedName name="_xlnm.Print_Titles" localSheetId="6">'6 Cashflows'!$1:$6</definedName>
    <definedName name="_xlnm.Print_Titles" localSheetId="7">'7 Risk'!$1:$6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 a="1"/>
  <c r="B12" i="5"/>
  <c r="B11" i="5"/>
  <c r="A83" i="4"/>
  <c r="A80" i="4"/>
  <c r="A68" i="4"/>
  <c r="A65" i="4"/>
  <c r="B64" i="4" a="1"/>
  <c r="A62" i="4"/>
  <c r="B61" i="4" a="1"/>
  <c r="A59" i="4"/>
  <c r="A56" i="4"/>
  <c r="B55" i="4" a="1"/>
  <c r="A53" i="4"/>
  <c r="B52" i="4" a="1"/>
  <c r="A50" i="4"/>
  <c r="A47" i="4"/>
  <c r="B46" i="4" a="1"/>
  <c r="A44" i="4"/>
  <c r="B43" i="4" a="1"/>
  <c r="A41" i="4"/>
  <c r="A38" i="4"/>
  <c r="B37" i="4" a="1"/>
  <c r="A35" i="4"/>
  <c r="B34" i="4" a="1"/>
  <c r="A32" i="4"/>
  <c r="A29" i="4"/>
  <c r="A26" i="4"/>
  <c r="B25" i="4" a="1"/>
  <c r="B28" i="4" s="1" a="1"/>
  <c r="A23" i="4"/>
  <c r="A20" i="4"/>
  <c r="B19" i="4" a="1"/>
  <c r="A17" i="4"/>
  <c r="B16" i="4" a="1"/>
  <c r="A14" i="4"/>
  <c r="B13" i="4" a="1"/>
  <c r="A11" i="4"/>
  <c r="B10" i="4" a="1"/>
  <c r="A8" i="4"/>
  <c r="A20" i="3"/>
  <c r="B19" i="3" a="1"/>
  <c r="A17" i="3"/>
  <c r="B16" i="3" a="1"/>
  <c r="A14" i="3"/>
  <c r="B13" i="3" a="1"/>
  <c r="H22" i="2"/>
  <c r="H21" i="2"/>
  <c r="H20" i="2"/>
  <c r="H19" i="2"/>
  <c r="H18" i="2"/>
  <c r="H17" i="2"/>
  <c r="B67" i="4" l="1" a="1"/>
  <c r="B76" i="4"/>
  <c r="B58" i="4" a="1"/>
  <c r="B75" i="4"/>
  <c r="B49" i="4" a="1"/>
  <c r="B74" i="4"/>
  <c r="B40" i="4" a="1"/>
  <c r="B73" i="4"/>
  <c r="B31" i="4" a="1"/>
  <c r="B72" i="4"/>
  <c r="B22" i="4" a="1"/>
  <c r="B71" i="4"/>
  <c r="B79" i="4" s="1" a="1"/>
  <c r="B82" i="4" s="1" a="1"/>
  <c r="A7" i="7" l="1" a="1"/>
  <c r="A7" i="8" a="1"/>
  <c r="B7" i="5" a="1"/>
  <c r="A7" i="6" a="1"/>
  <c r="C76" i="4"/>
  <c r="B26" i="5" a="1"/>
  <c r="C26" i="5"/>
  <c r="C75" i="4"/>
  <c r="B25" i="5" a="1"/>
  <c r="C25" i="5"/>
  <c r="C74" i="4"/>
  <c r="B24" i="5" a="1"/>
  <c r="C24" i="5"/>
  <c r="C73" i="4"/>
  <c r="B23" i="5" a="1"/>
  <c r="C23" i="5"/>
  <c r="C72" i="4"/>
  <c r="B22" i="5" a="1"/>
  <c r="C22" i="5"/>
  <c r="C71" i="4"/>
  <c r="B21" i="5" a="1"/>
  <c r="B8" i="5" s="1"/>
  <c r="B9" i="5" s="1"/>
  <c r="C2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100-000001000000}">
      <text>
        <r>
          <rPr>
            <sz val="8"/>
            <color indexed="81"/>
            <rFont val="Tahoma"/>
            <family val="2"/>
          </rPr>
          <t>Illustrative market date; no historical fixings needed.</t>
        </r>
      </text>
    </comment>
    <comment ref="B8" authorId="0" shapeId="0" xr:uid="{00000000-0006-0000-0100-000002000000}">
      <text>
        <r>
          <rPr>
            <sz val="8"/>
            <color indexed="81"/>
            <rFont val="Tahoma"/>
            <family val="2"/>
          </rPr>
          <t>All positions start after the market reference date.</t>
        </r>
      </text>
    </comment>
    <comment ref="B9" authorId="0" shapeId="0" xr:uid="{00000000-0006-0000-0100-000003000000}">
      <text>
        <r>
          <rPr>
            <sz val="8"/>
            <color indexed="81"/>
            <rFont val="Tahoma"/>
            <family val="2"/>
          </rPr>
          <t>Six-month deposit interest and principal repayment.</t>
        </r>
      </text>
    </comment>
    <comment ref="B10" authorId="0" shapeId="0" xr:uid="{00000000-0006-0000-0100-000004000000}">
      <text>
        <r>
          <rPr>
            <sz val="8"/>
            <color indexed="81"/>
            <rFont val="Tahoma"/>
            <family val="2"/>
          </rPr>
          <t>Two annual fixed and floating coupon periods.</t>
        </r>
      </text>
    </comment>
    <comment ref="B11" authorId="0" shapeId="0" xr:uid="{00000000-0006-0000-0100-000005000000}">
      <text>
        <r>
          <rPr>
            <sz val="8"/>
            <color indexed="81"/>
            <rFont val="Tahoma"/>
            <family val="2"/>
          </rPr>
          <t>Every PV is in USD; no FX conversion is performed.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3" authorId="0" shapeId="0" xr:uid="{00000000-0006-0000-0200-000001000000}">
      <text>
        <r>
          <rPr>
            <sz val="8"/>
            <color indexed="81"/>
            <rFont val="Tahoma"/>
            <family val="2"/>
          </rPr>
          <t>The context owns its market stores.</t>
        </r>
      </text>
    </comment>
    <comment ref="B16" authorId="0" shapeId="0" xr:uid="{00000000-0006-0000-0200-000002000000}">
      <text>
        <r>
          <rPr>
            <sz val="8"/>
            <color indexed="81"/>
            <rFont val="Tahoma"/>
            <family val="2"/>
          </rPr>
          <t>Independent context curve addition.</t>
        </r>
      </text>
    </comment>
    <comment ref="B19" authorId="0" shapeId="0" xr:uid="{00000000-0006-0000-0200-000003000000}">
      <text>
        <r>
          <rPr>
            <sz val="8"/>
            <color indexed="81"/>
            <rFont val="Tahoma"/>
            <family val="2"/>
          </rPr>
          <t>Independent context curve addition.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300-000001000000}">
      <text>
        <r>
          <rPr>
            <sz val="8"/>
            <color indexed="81"/>
            <rFont val="Tahoma"/>
            <family val="2"/>
          </rPr>
          <t>Both explicit curves share the same valuation date.</t>
        </r>
      </text>
    </comment>
    <comment ref="B10" authorId="0" shapeId="0" xr:uid="{00000000-0006-0000-0300-000002000000}">
      <text>
        <r>
          <rPr>
            <sz val="8"/>
            <color indexed="81"/>
            <rFont val="Tahoma"/>
            <family val="2"/>
          </rPr>
          <t>The same USD/SOFR policy prices deposits and swaps.</t>
        </r>
      </text>
    </comment>
    <comment ref="B13" authorId="0" shapeId="0" xr:uid="{00000000-0006-0000-0300-000003000000}">
      <text>
        <r>
          <rPr>
            <sz val="8"/>
            <color indexed="81"/>
            <rFont val="Tahoma"/>
            <family val="2"/>
          </rPr>
          <t>One pricer handle can be broadcast to every portfolio member.</t>
        </r>
      </text>
    </comment>
    <comment ref="B16" authorId="0" shapeId="0" xr:uid="{00000000-0006-0000-0300-000004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19" authorId="0" shapeId="0" xr:uid="{00000000-0006-0000-0300-000005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22" authorId="0" shapeId="0" xr:uid="{00000000-0006-0000-0300-000006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25" authorId="0" shapeId="0" xr:uid="{00000000-0006-0000-0300-000007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28" authorId="0" shapeId="0" xr:uid="{00000000-0006-0000-0300-000008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31" authorId="0" shapeId="0" xr:uid="{00000000-0006-0000-0300-000009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34" authorId="0" shapeId="0" xr:uid="{00000000-0006-0000-0300-00000A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37" authorId="0" shapeId="0" xr:uid="{00000000-0006-0000-0300-00000B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40" authorId="0" shapeId="0" xr:uid="{00000000-0006-0000-0300-00000C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43" authorId="0" shapeId="0" xr:uid="{00000000-0006-0000-0300-00000D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46" authorId="0" shapeId="0" xr:uid="{00000000-0006-0000-0300-00000E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49" authorId="0" shapeId="0" xr:uid="{00000000-0006-0000-0300-00000F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52" authorId="0" shapeId="0" xr:uid="{00000000-0006-0000-0300-000010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55" authorId="0" shapeId="0" xr:uid="{00000000-0006-0000-0300-000011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58" authorId="0" shapeId="0" xr:uid="{00000000-0006-0000-0300-000012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61" authorId="0" shapeId="0" xr:uid="{00000000-0006-0000-0300-000013000000}">
      <text>
        <r>
          <rPr>
            <sz val="8"/>
            <color indexed="81"/>
            <rFont val="Tahoma"/>
            <family val="2"/>
          </rPr>
          <t>Dates, principal and coupon terms are contract inputs.</t>
        </r>
      </text>
    </comment>
    <comment ref="B64" authorId="0" shapeId="0" xr:uid="{00000000-0006-0000-0300-000014000000}">
      <text>
        <r>
          <rPr>
            <sz val="8"/>
            <color indexed="81"/>
            <rFont val="Tahoma"/>
            <family val="2"/>
          </rPr>
          <t>Position direction is separate from the instrument.</t>
        </r>
      </text>
    </comment>
    <comment ref="B67" authorId="0" shapeId="0" xr:uid="{00000000-0006-0000-0300-000015000000}">
      <text>
        <r>
          <rPr>
            <sz val="8"/>
            <color indexed="81"/>
            <rFont val="Tahoma"/>
            <family val="2"/>
          </rPr>
          <t>Independent single-position result used to check the portfolio PV.</t>
        </r>
      </text>
    </comment>
    <comment ref="B79" authorId="0" shapeId="0" xr:uid="{00000000-0006-0000-0300-000016000000}">
      <text>
        <r>
          <rPr>
            <sz val="8"/>
            <color indexed="81"/>
            <rFont val="Tahoma"/>
            <family val="2"/>
          </rPr>
          <t>The ordered member range holds live trade handles. Repeating a handle repeats its position.</t>
        </r>
      </text>
    </comment>
    <comment ref="B82" authorId="0" shapeId="0" xr:uid="{00000000-0006-0000-0300-000017000000}">
      <text>
        <r>
          <rPr>
            <sz val="8"/>
            <color indexed="81"/>
            <rFont val="Tahoma"/>
            <family val="2"/>
          </rPr>
          <t>Returns standard EvaluationResults; numerical risk is summed after each trade's AD calculation.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400-000001000000}">
      <text>
        <r>
          <rPr>
            <sz val="8"/>
            <color indexed="81"/>
            <rFont val="Tahoma"/>
            <family val="2"/>
          </rPr>
          <t>Total monetary PV under USD/SOFR discounting.</t>
        </r>
      </text>
    </comment>
    <comment ref="B8" authorId="0" shapeId="0" xr:uid="{00000000-0006-0000-0400-000002000000}">
      <text>
        <r>
          <rPr>
            <sz val="8"/>
            <color indexed="81"/>
            <rFont val="Tahoma"/>
            <family val="2"/>
          </rPr>
          <t>Independent position values listed below.</t>
        </r>
      </text>
    </comment>
    <comment ref="B9" authorId="0" shapeId="0" xr:uid="{00000000-0006-0000-0400-000003000000}">
      <text>
        <r>
          <rPr>
            <sz val="8"/>
            <color indexed="81"/>
            <rFont val="Tahoma"/>
            <family val="2"/>
          </rPr>
          <t>Should be zero within floating-point rounding.</t>
        </r>
      </text>
    </comment>
    <comment ref="B11" authorId="0" shapeId="0" xr:uid="{00000000-0006-0000-0400-000004000000}">
      <text>
        <r>
          <rPr>
            <sz val="8"/>
            <color indexed="81"/>
            <rFont val="Tahoma"/>
            <family val="2"/>
          </rPr>
          <t>Default: 400,000 at 5.5%; find its September 2026 fixed coupon on Coupons.</t>
        </r>
      </text>
    </comment>
    <comment ref="B12" authorId="0" shapeId="0" xr:uid="{00000000-0006-0000-0400-000005000000}">
      <text>
        <r>
          <rPr>
            <sz val="8"/>
            <color indexed="81"/>
            <rFont val="Tahoma"/>
            <family val="2"/>
          </rPr>
          <t>Default: 25 bp on -400,000 floating principal. TermSOFR3m stays at 20 bp on -200,000.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<sst xmlns="http://schemas.openxmlformats.org/spreadsheetml/2006/main" count="219" uniqueCount="168">
  <si>
    <t>Portfolio aggregation · coupons, payments and risk</t>
  </si>
  <si>
    <t>Aggregate six USD positions: two deposits, SOFR and Term SOFR 3M swaps, and one short swap. Compatible coupons combine while their fixing curves remain identifiable.</t>
  </si>
  <si>
    <t>Before you start: load quantsupport.xll in 64-bit Windows Excel, then press Ctrl+Alt+F9. Results are blank until Excel calculates. Dates are ISO text; enter 4% as 0.04.</t>
  </si>
  <si>
    <t>Follow the numbered tabs from left to right</t>
  </si>
  <si>
    <t>1</t>
  </si>
  <si>
    <t>1 Positions</t>
  </si>
  <si>
    <t>Edit sizes, quotes, indices and directions.</t>
  </si>
  <si>
    <t>2</t>
  </si>
  <si>
    <t>2 Market</t>
  </si>
  <si>
    <t>Review both explicit projection curves and SOFR discounting.</t>
  </si>
  <si>
    <t>3</t>
  </si>
  <si>
    <t>3 Build</t>
  </si>
  <si>
    <t>Build trades, supply their handle range, and evaluate the portfolio.</t>
  </si>
  <si>
    <t>4</t>
  </si>
  <si>
    <t>4 Results</t>
  </si>
  <si>
    <t>Reconcile portfolio PV and inspect the expected weighted quotes.</t>
  </si>
  <si>
    <t>5</t>
  </si>
  <si>
    <t>5 Coupons</t>
  </si>
  <si>
    <t>Inspect retained types, dates, fixing indices and weighted quotes.</t>
  </si>
  <si>
    <t>6</t>
  </si>
  <si>
    <t>6 Cashflows</t>
  </si>
  <si>
    <t>Read signed interest and principal by payment date.</t>
  </si>
  <si>
    <t>7</t>
  </si>
  <si>
    <t>7 Risk</t>
  </si>
  <si>
    <t>Read sensitivities summed by the original risk-factor labels.</t>
  </si>
  <si>
    <t>Cell colours</t>
  </si>
  <si>
    <t>Blue · edit</t>
  </si>
  <si>
    <t>Assumptions and choices you can change.</t>
  </si>
  <si>
    <t>Green · read</t>
  </si>
  <si>
    <t>Financial results calculated by the add-in.</t>
  </si>
  <si>
    <t>Grey · build</t>
  </si>
  <si>
    <t>Object references on the Build tab. Each step shows its Excel formula below.</t>
  </si>
  <si>
    <t>Try this first</t>
  </si>
  <si>
    <t>1. Change Deposit B's rate or notional. Compare the weighted deposit rate on Results with its coupon on Coupons.</t>
  </si>
  <si>
    <t>2. Change SOFR B's spread. Compare paid SOFR coupons with the distinct TermSOFR3m coupons on the same dates.</t>
  </si>
  <si>
    <t>3. Change Short SOFR from Pay to Receive. Read the new PV, coupon directions and net interest payments.</t>
  </si>
  <si>
    <t>Use Ctrl+A after a function name for parameter help. Inline hints use the optional Excel-DNA IntelliSense companion. The example assumptions are illustrative; tables and results use the native Rust pricers.</t>
  </si>
  <si>
    <t>Positions and common dates</t>
  </si>
  <si>
    <t>Blue cells are editable. Receive deposits advance principal and receive interest/redemption; Receive swaps receive fixed and pay floating. All amounts are USD; rates and spreads are annual decimals.</t>
  </si>
  <si>
    <t>← Start Here</t>
  </si>
  <si>
    <t>Next → 2 Market</t>
  </si>
  <si>
    <t>Common input</t>
  </si>
  <si>
    <t>Value</t>
  </si>
  <si>
    <t>Meaning</t>
  </si>
  <si>
    <t>Valuation date</t>
  </si>
  <si>
    <t>2026-02-24</t>
  </si>
  <si>
    <t>Illustrative market date; no historical fixings needed.</t>
  </si>
  <si>
    <t>Accrual start</t>
  </si>
  <si>
    <t>2026-03-02</t>
  </si>
  <si>
    <t>All positions start after the market reference date.</t>
  </si>
  <si>
    <t>Deposit maturity</t>
  </si>
  <si>
    <t>2026-09-02</t>
  </si>
  <si>
    <t>Six-month deposit interest and principal repayment.</t>
  </si>
  <si>
    <t>Swap maturity</t>
  </si>
  <si>
    <t>2028-03-02</t>
  </si>
  <si>
    <t>Two annual fixed and floating coupon periods.</t>
  </si>
  <si>
    <t>Currency</t>
  </si>
  <si>
    <t>USD</t>
  </si>
  <si>
    <t>Every PV is in USD; no FX conversion is performed.</t>
  </si>
  <si>
    <t>Position</t>
  </si>
  <si>
    <t>Instrument</t>
  </si>
  <si>
    <t>Notional (USD)</t>
  </si>
  <si>
    <t>Fixed rate</t>
  </si>
  <si>
    <t>Spread</t>
  </si>
  <si>
    <t>Projection / discount index</t>
  </si>
  <si>
    <t>Side</t>
  </si>
  <si>
    <t>Maturity</t>
  </si>
  <si>
    <t>Deposit A</t>
  </si>
  <si>
    <t>Deposit</t>
  </si>
  <si>
    <t>SOFR</t>
  </si>
  <si>
    <t>Receive</t>
  </si>
  <si>
    <t>Deposit B</t>
  </si>
  <si>
    <t>SOFR A</t>
  </si>
  <si>
    <t>Swap</t>
  </si>
  <si>
    <t>SOFR B</t>
  </si>
  <si>
    <t>Term SOFR</t>
  </si>
  <si>
    <t>TermSOFR3m</t>
  </si>
  <si>
    <t>Short SOFR</t>
  </si>
  <si>
    <t>Pay</t>
  </si>
  <si>
    <t>The first two SOFR swaps combine their paid floating coupons at a notional-weighted spread. TermSOFR3m stays separate. Pay and receive coupons also remain separate, even when the dates match.</t>
  </si>
  <si>
    <t>Requested measure</t>
  </si>
  <si>
    <t>Description</t>
  </si>
  <si>
    <t>Monetary PV in the declared USD pricing currency.</t>
  </si>
  <si>
    <t>Sensitivities</t>
  </si>
  <si>
    <t>Raw derivatives per unit of each original curve input.</t>
  </si>
  <si>
    <t>Cashflows</t>
  </si>
  <si>
    <t>Typed coupons, plus a separate interest/capital summary.</t>
  </si>
  <si>
    <t>Explicit zero curves</t>
  </si>
  <si>
    <t>Illustrative continuous zero rates on Actual360. SOFR projects SOFR coupons and discounts every USD payment. TermSOFR3m projects only that floating index; no bootstrap or FX inputs are needed.</t>
  </si>
  <si>
    <t>Next → 3 Build</t>
  </si>
  <si>
    <t>Pillar</t>
  </si>
  <si>
    <t>SOFR zero rate</t>
  </si>
  <si>
    <t>TermSOFR3m zero rate</t>
  </si>
  <si>
    <t>0D</t>
  </si>
  <si>
    <t>1Y</t>
  </si>
  <si>
    <t>3Y</t>
  </si>
  <si>
    <t>Construction step</t>
  </si>
  <si>
    <t>Object reference</t>
  </si>
  <si>
    <t>Purpose</t>
  </si>
  <si>
    <t>1. Create dated context</t>
  </si>
  <si>
    <t>The context owns its market stores.</t>
  </si>
  <si>
    <t>Add SOFR</t>
  </si>
  <si>
    <t>Independent context curve addition.</t>
  </si>
  <si>
    <t>Add TermSOFR3m</t>
  </si>
  <si>
    <t>Build trades and aggregate a handle range</t>
  </si>
  <si>
    <t>Read top to bottom. Individual evaluations provide an independent PV check. The portfolio takes a contiguous range of trade handles and one broadcast pricer; it returns ordinary EvaluationResults.</t>
  </si>
  <si>
    <t>Next → 4 Results</t>
  </si>
  <si>
    <t>Step</t>
  </si>
  <si>
    <t>1. Create pricing context</t>
  </si>
  <si>
    <t>Both explicit curves share the same valuation date.</t>
  </si>
  <si>
    <t>2. Select SOFR discounting</t>
  </si>
  <si>
    <t>The same USD/SOFR policy prices deposits and swaps.</t>
  </si>
  <si>
    <t>3. Create shared pricer</t>
  </si>
  <si>
    <t>One pricer handle can be broadcast to every portfolio member.</t>
  </si>
  <si>
    <t>Deposit A · contract</t>
  </si>
  <si>
    <t>Dates, principal and coupon terms are contract inputs.</t>
  </si>
  <si>
    <t>Deposit A · position</t>
  </si>
  <si>
    <t>Position direction is separate from the instrument.</t>
  </si>
  <si>
    <t>Deposit A · reference result</t>
  </si>
  <si>
    <t>Independent single-position result used to check the portfolio PV.</t>
  </si>
  <si>
    <t>Deposit B · contract</t>
  </si>
  <si>
    <t>Deposit B · position</t>
  </si>
  <si>
    <t>Deposit B · reference result</t>
  </si>
  <si>
    <t>SOFR A · contract</t>
  </si>
  <si>
    <t>SOFR A · position</t>
  </si>
  <si>
    <t>SOFR A · reference result</t>
  </si>
  <si>
    <t>SOFR B · contract</t>
  </si>
  <si>
    <t>SOFR B · position</t>
  </si>
  <si>
    <t>SOFR B · reference result</t>
  </si>
  <si>
    <t>Term SOFR · contract</t>
  </si>
  <si>
    <t>Term SOFR · position</t>
  </si>
  <si>
    <t>Term SOFR · reference result</t>
  </si>
  <si>
    <t>Short SOFR · contract</t>
  </si>
  <si>
    <t>Short SOFR · position</t>
  </si>
  <si>
    <t>Short SOFR · reference result</t>
  </si>
  <si>
    <t>Portfolio member</t>
  </si>
  <si>
    <t>Trade handle passed to CREATE</t>
  </si>
  <si>
    <t>Reference evaluation</t>
  </si>
  <si>
    <t>4. Create portfolio from list</t>
  </si>
  <si>
    <t>The ordered member range holds live trade handles. Repeating a handle repeats its position.</t>
  </si>
  <si>
    <t>5. Aggregate completed results</t>
  </si>
  <si>
    <t>Returns standard EvaluationResults; numerical risk is summed after each trade's AD calculation.</t>
  </si>
  <si>
    <t>Portfolio PV and weighted quote checks</t>
  </si>
  <si>
    <t>PV reconciles to six independent evaluations. Expected quotes use the default receive positions; if you change direction, inspect the resulting pay/receive groups on Coupons.</t>
  </si>
  <si>
    <t>Next → 5 Coupons</t>
  </si>
  <si>
    <t>Measure</t>
  </si>
  <si>
    <t>Interpretation</t>
  </si>
  <si>
    <t>Portfolio PV (USD)</t>
  </si>
  <si>
    <t>Total monetary PV under USD/SOFR discounting.</t>
  </si>
  <si>
    <t>Sum of individual PVs</t>
  </si>
  <si>
    <t>Independent position values listed below.</t>
  </si>
  <si>
    <t>PV difference</t>
  </si>
  <si>
    <t>Should be zero within floating-point rounding.</t>
  </si>
  <si>
    <t>Expected deposit coupon rate</t>
  </si>
  <si>
    <t>Default: 400,000 at 5.5%; find its September 2026 fixed coupon on Coupons.</t>
  </si>
  <si>
    <t>Expected paid SOFR spread</t>
  </si>
  <si>
    <t>Default: 25 bp on -400,000 floating principal. TermSOFR3m stays at 20 bp on -200,000.</t>
  </si>
  <si>
    <t>Coupons retains both fixed and floating types, contractual and fixing indices, accrual dates and conventions. The short swap remains a separate direction. Cashflows nets payments by date/currency into Interest, Capital and Other. These are payment-date totals, not an accrual allocation of NII.</t>
  </si>
  <si>
    <t>PV (USD)</t>
  </si>
  <si>
    <t>Reference result</t>
  </si>
  <si>
    <t>Aggregated cashflows and coupon terms</t>
  </si>
  <si>
    <t>Compatible periods use notional-weighted fixed rates or floating spreads. SOFR and TermSOFR3m, distinct conventions and opposing directions stay separate. Principal rows have blank coupon terms.</t>
  </si>
  <si>
    <t>Next → 6 Cashflows</t>
  </si>
  <si>
    <t>Payments by date: interest and capital</t>
  </si>
  <si>
    <t>Signed, undiscounted USD payments. Deposit advances are negative capital; redemptions are positive capital. Interest includes fixed and floating coupons. No accrual-period NII allocation is performed.</t>
  </si>
  <si>
    <t>Next → 7 Risk</t>
  </si>
  <si>
    <t>Portfolio sensitivities by original risk factor</t>
  </si>
  <si>
    <t>Raw derivatives per unit input, summed after individual trade differentiation. Multiply a decimal-rate derivative by 0.0001 for an approximate +1 bp PV change. Both SOFR and TermSOFR3m risk remain labelled.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</si>
</sst>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"/>
    <numFmt numFmtId="165" formatCode="0.0000%"/>
  </numFmts>
  <fonts count="12" x14ac:knownFonts="1">
    <font>
      <sz val="11"/>
      <color theme="1"/>
      <name val="Calibri"/>
      <family val="2"/>
      <scheme val="minor"/>
    </font>
    <font>
      <sz val="11"/>
      <color rgb="FF273B4A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1"/>
      <color rgb="FF526779"/>
      <name val="Calibri"/>
      <family val="2"/>
      <scheme val="minor"/>
    </font>
    <font>
      <b/>
      <sz val="12"/>
      <color rgb="FF17324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126B9A"/>
      <name val="Calibri"/>
      <family val="2"/>
      <scheme val="minor"/>
    </font>
    <font>
      <sz val="10"/>
      <color rgb="FF526779"/>
      <name val="Calibri"/>
      <family val="2"/>
      <scheme val="minor"/>
    </font>
    <font>
      <sz val="11"/>
      <color rgb="FF174EA6"/>
      <name val="Calibri"/>
      <family val="2"/>
      <scheme val="minor"/>
    </font>
    <font>
      <sz val="11"/>
      <color rgb="FF145C43"/>
      <name val="Calibri"/>
      <family val="2"/>
      <scheme val="minor"/>
    </font>
    <font>
      <sz val="9"/>
      <color rgb="FF526779"/>
      <name val="Consolas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5EDF2"/>
        <bgColor indexed="64"/>
      </patternFill>
    </fill>
    <fill>
      <patternFill patternType="solid">
        <fgColor rgb="FF176B75"/>
        <bgColor indexed="64"/>
      </patternFill>
    </fill>
    <fill>
      <patternFill patternType="solid">
        <fgColor rgb="FFE8F1FC"/>
        <bgColor indexed="64"/>
      </patternFill>
    </fill>
    <fill>
      <patternFill patternType="solid">
        <fgColor rgb="FFEAF5EF"/>
        <bgColor indexed="64"/>
      </patternFill>
    </fill>
    <fill>
      <patternFill patternType="solid">
        <fgColor rgb="FFF0F2F5"/>
        <bgColor indexed="64"/>
      </patternFill>
    </fill>
    <fill>
      <patternFill patternType="solid">
        <fgColor rgb="FFF7F9FB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CBDBEE"/>
      </left>
      <right style="thin">
        <color rgb="FFCBDBEE"/>
      </right>
      <top style="thin">
        <color rgb="FFCBDBEE"/>
      </top>
      <bottom style="thin">
        <color rgb="FFCBDBE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10" fillId="7" borderId="0" xfId="0" applyFont="1" applyFill="1" applyAlignment="1">
      <alignment vertical="center" wrapText="1"/>
    </xf>
    <xf numFmtId="4" fontId="8" fillId="5" borderId="2" xfId="0" applyNumberFormat="1" applyFont="1" applyFill="1" applyBorder="1" applyAlignment="1">
      <alignment vertical="center" wrapText="1"/>
    </xf>
    <xf numFmtId="10" fontId="8" fillId="5" borderId="2" xfId="0" applyNumberFormat="1" applyFont="1" applyFill="1" applyBorder="1" applyAlignment="1">
      <alignment vertical="center" wrapText="1"/>
    </xf>
    <xf numFmtId="164" fontId="9" fillId="6" borderId="0" xfId="0" applyNumberFormat="1" applyFont="1" applyFill="1" applyAlignment="1">
      <alignment vertical="center" wrapText="1"/>
    </xf>
    <xf numFmtId="165" fontId="9" fillId="6" borderId="0" xfId="0" applyNumberFormat="1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0" fillId="7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vertical="center" wrapText="1"/>
    </xf>
    <xf numFmtId="0" fontId="9" fillId="6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10" fillId="8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_679dc4253c1b45d99cc5011b9a1dfcee">
      <tp>
        <v>3</v>
        <stp/>
        <stp>182b9daf-6661-435b-816f-7d4c149a4623</stp>
        <tr r="B31" s="4"/>
      </tp>
      <tp>
        <v>3</v>
        <stp/>
        <stp>a682793d-d4f5-4b04-9ba6-55557b81a143</stp>
        <tr r="B22" s="5"/>
      </tp>
      <tp>
        <v>3</v>
        <stp/>
        <stp>288413de-c479-4e58-a694-0027e31bb8e5</stp>
        <tr r="B58" s="4"/>
      </tp>
      <tp>
        <v>3</v>
        <stp/>
        <stp>05efaa17-6faa-46cd-b61a-8accf17bc48d</stp>
        <tr r="A7" s="6"/>
      </tp>
      <tp>
        <v>3</v>
        <stp/>
        <stp>f1b2528d-c7bc-4371-a00f-bbbf7629be8f</stp>
        <tr r="B26" s="5"/>
      </tp>
      <tp>
        <v>3</v>
        <stp/>
        <stp>8b38cbef-9e02-47bd-81bc-cf42175bb96a</stp>
        <tr r="B49" s="4"/>
      </tp>
      <tp>
        <v>3</v>
        <stp/>
        <stp>d250d04b-c795-480d-898c-58d3736d6bfc</stp>
        <tr r="B40" s="4"/>
      </tp>
      <tp>
        <v>3</v>
        <stp/>
        <stp>8e7111cd-2906-4635-a44a-276feacffd14</stp>
        <tr r="B7" s="5"/>
      </tp>
      <tp>
        <v>3</v>
        <stp/>
        <stp>21af692a-8f08-4c16-a680-bfd0f65f4d15</stp>
        <tr r="A7" s="7"/>
      </tp>
      <tp>
        <v>3</v>
        <stp/>
        <stp>0b5f4d23-f0ec-4e9e-bf04-9803961531e1</stp>
        <tr r="B25" s="5"/>
      </tp>
      <tp>
        <v>3</v>
        <stp/>
        <stp>492a7d1b-7ce1-4497-9403-1bd840e22795</stp>
        <tr r="B23" s="5"/>
      </tp>
      <tp>
        <v>3</v>
        <stp/>
        <stp>5806ae1e-f62c-480d-a63d-2d90ca903aba</stp>
        <tr r="B67" s="4"/>
      </tp>
      <tp>
        <v>3</v>
        <stp/>
        <stp>4d54c061-95c8-41de-b147-3251cd8eeeb6</stp>
        <tr r="B21" s="5"/>
      </tp>
      <tp>
        <v>3</v>
        <stp/>
        <stp>79f41826-5f0c-4dba-90d1-c20abee12d29</stp>
        <tr r="B82" s="4"/>
      </tp>
      <tp>
        <v>3</v>
        <stp/>
        <stp>c762898b-f674-4911-bbb7-ab8c0bb39808</stp>
        <tr r="B22" s="4"/>
      </tp>
      <tp>
        <v>3</v>
        <stp/>
        <stp>eac68346-16b9-4fcd-94ef-4edc768c7175</stp>
        <tr r="A7" s="8"/>
      </tp>
      <tp>
        <v>3</v>
        <stp/>
        <stp>4361867c-b2c0-4003-8818-027865399b44</stp>
        <tr r="B24" s="5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0"/>
  <sheetViews>
    <sheetView showGridLines="0" zoomScale="90" zoomScaleNormal="90" workbookViewId="0">
      <pane ySplit="9" topLeftCell="A14" activePane="bottomLeft" state="frozen"/>
      <selection pane="bottomLeft" activeCell="A27" sqref="A27:F27"/>
    </sheetView>
  </sheetViews>
  <sheetFormatPr baseColWidth="10" defaultColWidth="9.140625" defaultRowHeight="26.1" customHeight="1" x14ac:dyDescent="0.25"/>
  <cols>
    <col min="1" max="1" width="8.7109375" style="1" customWidth="1"/>
    <col min="2" max="2" width="22.7109375" style="1" customWidth="1"/>
    <col min="3" max="3" width="17.7109375" style="1" customWidth="1"/>
    <col min="4" max="5" width="22.7109375" style="1" customWidth="1"/>
    <col min="6" max="6" width="18.7109375" style="1" customWidth="1"/>
  </cols>
  <sheetData>
    <row r="1" spans="1:6" ht="30" customHeight="1" x14ac:dyDescent="0.25">
      <c r="A1" s="19" t="s">
        <v>0</v>
      </c>
      <c r="B1" s="19"/>
      <c r="C1" s="19"/>
      <c r="D1" s="19"/>
      <c r="E1" s="19"/>
      <c r="F1" s="19"/>
    </row>
    <row r="2" spans="1:6" ht="30" customHeight="1" x14ac:dyDescent="0.25">
      <c r="A2" s="19"/>
      <c r="B2" s="19"/>
      <c r="C2" s="19"/>
      <c r="D2" s="19"/>
      <c r="E2" s="19"/>
      <c r="F2" s="19"/>
    </row>
    <row r="3" spans="1:6" ht="26.1" customHeight="1" x14ac:dyDescent="0.25">
      <c r="A3" s="20" t="s">
        <v>1</v>
      </c>
      <c r="B3" s="20"/>
      <c r="C3" s="20"/>
      <c r="D3" s="20"/>
      <c r="E3" s="20"/>
      <c r="F3" s="20"/>
    </row>
    <row r="4" spans="1:6" ht="26.1" customHeight="1" x14ac:dyDescent="0.25">
      <c r="A4" s="20"/>
      <c r="B4" s="20"/>
      <c r="C4" s="20"/>
      <c r="D4" s="20"/>
      <c r="E4" s="20"/>
      <c r="F4" s="20"/>
    </row>
    <row r="6" spans="1:6" ht="26.1" customHeight="1" x14ac:dyDescent="0.25">
      <c r="A6" s="21" t="s">
        <v>2</v>
      </c>
      <c r="B6" s="21"/>
      <c r="C6" s="21"/>
      <c r="D6" s="21"/>
      <c r="E6" s="21"/>
      <c r="F6" s="21"/>
    </row>
    <row r="7" spans="1:6" ht="26.1" customHeight="1" x14ac:dyDescent="0.25">
      <c r="A7" s="21"/>
      <c r="B7" s="21"/>
      <c r="C7" s="21"/>
      <c r="D7" s="21"/>
      <c r="E7" s="21"/>
      <c r="F7" s="21"/>
    </row>
    <row r="9" spans="1:6" ht="26.1" customHeight="1" x14ac:dyDescent="0.25">
      <c r="A9" s="15" t="s">
        <v>3</v>
      </c>
      <c r="B9" s="15"/>
      <c r="C9" s="15"/>
      <c r="D9" s="15"/>
      <c r="E9" s="15"/>
      <c r="F9" s="15"/>
    </row>
    <row r="10" spans="1:6" ht="33.950000000000003" customHeight="1" x14ac:dyDescent="0.25">
      <c r="A10" s="2" t="s">
        <v>4</v>
      </c>
      <c r="B10" s="18" t="s">
        <v>5</v>
      </c>
      <c r="C10" s="13"/>
      <c r="D10" s="12" t="s">
        <v>6</v>
      </c>
      <c r="E10" s="12"/>
      <c r="F10" s="12"/>
    </row>
    <row r="11" spans="1:6" ht="33.950000000000003" customHeight="1" x14ac:dyDescent="0.25">
      <c r="A11" s="2" t="s">
        <v>7</v>
      </c>
      <c r="B11" s="18" t="s">
        <v>8</v>
      </c>
      <c r="C11" s="13"/>
      <c r="D11" s="12" t="s">
        <v>9</v>
      </c>
      <c r="E11" s="12"/>
      <c r="F11" s="12"/>
    </row>
    <row r="12" spans="1:6" ht="33.950000000000003" customHeight="1" x14ac:dyDescent="0.25">
      <c r="A12" s="2" t="s">
        <v>10</v>
      </c>
      <c r="B12" s="18" t="s">
        <v>11</v>
      </c>
      <c r="C12" s="13"/>
      <c r="D12" s="12" t="s">
        <v>12</v>
      </c>
      <c r="E12" s="12"/>
      <c r="F12" s="12"/>
    </row>
    <row r="13" spans="1:6" ht="33.950000000000003" customHeight="1" x14ac:dyDescent="0.25">
      <c r="A13" s="2" t="s">
        <v>13</v>
      </c>
      <c r="B13" s="18" t="s">
        <v>14</v>
      </c>
      <c r="C13" s="13"/>
      <c r="D13" s="12" t="s">
        <v>15</v>
      </c>
      <c r="E13" s="12"/>
      <c r="F13" s="12"/>
    </row>
    <row r="14" spans="1:6" ht="33.950000000000003" customHeight="1" x14ac:dyDescent="0.25">
      <c r="A14" s="2" t="s">
        <v>16</v>
      </c>
      <c r="B14" s="18" t="s">
        <v>17</v>
      </c>
      <c r="C14" s="13"/>
      <c r="D14" s="12" t="s">
        <v>18</v>
      </c>
      <c r="E14" s="12"/>
      <c r="F14" s="12"/>
    </row>
    <row r="15" spans="1:6" ht="33.950000000000003" customHeight="1" x14ac:dyDescent="0.25">
      <c r="A15" s="2" t="s">
        <v>19</v>
      </c>
      <c r="B15" s="18" t="s">
        <v>20</v>
      </c>
      <c r="C15" s="13"/>
      <c r="D15" s="12" t="s">
        <v>21</v>
      </c>
      <c r="E15" s="12"/>
      <c r="F15" s="12"/>
    </row>
    <row r="16" spans="1:6" ht="33.950000000000003" customHeight="1" x14ac:dyDescent="0.25">
      <c r="A16" s="2" t="s">
        <v>22</v>
      </c>
      <c r="B16" s="18" t="s">
        <v>23</v>
      </c>
      <c r="C16" s="13"/>
      <c r="D16" s="12" t="s">
        <v>24</v>
      </c>
      <c r="E16" s="12"/>
      <c r="F16" s="12"/>
    </row>
    <row r="19" spans="1:6" ht="26.1" customHeight="1" x14ac:dyDescent="0.25">
      <c r="A19" s="15" t="s">
        <v>25</v>
      </c>
      <c r="B19" s="15"/>
      <c r="C19" s="15"/>
      <c r="D19" s="15"/>
      <c r="E19" s="15"/>
      <c r="F19" s="15"/>
    </row>
    <row r="20" spans="1:6" ht="30" customHeight="1" x14ac:dyDescent="0.25">
      <c r="A20" s="16" t="s">
        <v>26</v>
      </c>
      <c r="B20" s="16"/>
      <c r="C20" s="16"/>
      <c r="D20" s="12" t="s">
        <v>27</v>
      </c>
      <c r="E20" s="12"/>
      <c r="F20" s="12"/>
    </row>
    <row r="21" spans="1:6" ht="30" customHeight="1" x14ac:dyDescent="0.25">
      <c r="A21" s="17" t="s">
        <v>28</v>
      </c>
      <c r="B21" s="17"/>
      <c r="C21" s="17"/>
      <c r="D21" s="12" t="s">
        <v>29</v>
      </c>
      <c r="E21" s="12"/>
      <c r="F21" s="12"/>
    </row>
    <row r="22" spans="1:6" ht="30" customHeight="1" x14ac:dyDescent="0.25">
      <c r="A22" s="14" t="s">
        <v>30</v>
      </c>
      <c r="B22" s="14"/>
      <c r="C22" s="14"/>
      <c r="D22" s="12" t="s">
        <v>31</v>
      </c>
      <c r="E22" s="12"/>
      <c r="F22" s="12"/>
    </row>
    <row r="24" spans="1:6" ht="26.1" customHeight="1" x14ac:dyDescent="0.25">
      <c r="A24" s="15" t="s">
        <v>32</v>
      </c>
      <c r="B24" s="15"/>
      <c r="C24" s="15"/>
      <c r="D24" s="15"/>
      <c r="E24" s="15"/>
      <c r="F24" s="15"/>
    </row>
    <row r="25" spans="1:6" ht="33.950000000000003" customHeight="1" x14ac:dyDescent="0.25">
      <c r="A25" s="12" t="s">
        <v>33</v>
      </c>
      <c r="B25" s="12"/>
      <c r="C25" s="12"/>
      <c r="D25" s="12"/>
      <c r="E25" s="12"/>
      <c r="F25" s="12"/>
    </row>
    <row r="26" spans="1:6" ht="33.950000000000003" customHeight="1" x14ac:dyDescent="0.25">
      <c r="A26" s="12" t="s">
        <v>34</v>
      </c>
      <c r="B26" s="12"/>
      <c r="C26" s="12"/>
      <c r="D26" s="12"/>
      <c r="E26" s="12"/>
      <c r="F26" s="12"/>
    </row>
    <row r="27" spans="1:6" ht="33.950000000000003" customHeight="1" x14ac:dyDescent="0.25">
      <c r="A27" s="12" t="s">
        <v>35</v>
      </c>
      <c r="B27" s="12"/>
      <c r="C27" s="12"/>
      <c r="D27" s="12"/>
      <c r="E27" s="12"/>
      <c r="F27" s="12"/>
    </row>
    <row r="29" spans="1:6" ht="26.1" customHeight="1" x14ac:dyDescent="0.25">
      <c r="A29" s="13" t="s">
        <v>36</v>
      </c>
      <c r="B29" s="13"/>
      <c r="C29" s="13"/>
      <c r="D29" s="13"/>
      <c r="E29" s="13"/>
      <c r="F29" s="13"/>
    </row>
    <row r="30" spans="1:6" ht="26.1" customHeight="1" x14ac:dyDescent="0.25">
      <c r="A30" s="13"/>
      <c r="B30" s="13"/>
      <c r="C30" s="13"/>
      <c r="D30" s="13"/>
      <c r="E30" s="13"/>
      <c r="F30" s="13"/>
    </row>
  </sheetData>
  <mergeCells count="30">
    <mergeCell ref="A1:F2"/>
    <mergeCell ref="A3:F4"/>
    <mergeCell ref="A6:F7"/>
    <mergeCell ref="A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A19:F19"/>
    <mergeCell ref="A20:C20"/>
    <mergeCell ref="D20:F20"/>
    <mergeCell ref="A21:C21"/>
    <mergeCell ref="D21:F21"/>
    <mergeCell ref="A27:F27"/>
    <mergeCell ref="A29:F30"/>
    <mergeCell ref="A22:C22"/>
    <mergeCell ref="D22:F22"/>
    <mergeCell ref="A24:F24"/>
    <mergeCell ref="A25:F25"/>
    <mergeCell ref="A26:F26"/>
  </mergeCells>
  <hyperlinks>
    <hyperlink ref="B10" location="'1 Positions'!A1" display="1 Positions" xr:uid="{00000000-0004-0000-0000-000000000000}"/>
    <hyperlink ref="B11" location="'2 Market'!A1" display="2 Market" xr:uid="{00000000-0004-0000-0000-000001000000}"/>
    <hyperlink ref="B12" location="'3 Build'!A1" display="3 Build" xr:uid="{00000000-0004-0000-0000-000002000000}"/>
    <hyperlink ref="B13" location="'4 Results'!A1" display="4 Results" xr:uid="{00000000-0004-0000-0000-000003000000}"/>
    <hyperlink ref="B14" location="'5 Coupons'!A1" display="5 Coupons" xr:uid="{00000000-0004-0000-0000-000004000000}"/>
    <hyperlink ref="B15" location="'6 Cashflows'!A1" display="6 Cashflows" xr:uid="{00000000-0004-0000-0000-000005000000}"/>
    <hyperlink ref="B16" location="'7 Risk'!A1" display="7 Risk" xr:uid="{00000000-0004-0000-0000-000006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37AB7"/>
    <pageSetUpPr fitToPage="1"/>
  </sheetPr>
  <dimension ref="A1:H3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9.140625" defaultRowHeight="24" customHeight="1" x14ac:dyDescent="0.25"/>
  <cols>
    <col min="1" max="1" width="23.7109375" style="1" customWidth="1"/>
    <col min="2" max="2" width="18.7109375" style="1" customWidth="1"/>
    <col min="3" max="3" width="21.7109375" style="1" customWidth="1"/>
    <col min="4" max="5" width="16.7109375" style="1" customWidth="1"/>
    <col min="6" max="6" width="24.7109375" style="1" customWidth="1"/>
    <col min="7" max="7" width="15.7109375" style="1" customWidth="1"/>
    <col min="8" max="8" width="18.7109375" style="1" customWidth="1"/>
  </cols>
  <sheetData>
    <row r="1" spans="1:8" ht="38.1" customHeight="1" x14ac:dyDescent="0.25">
      <c r="A1" s="19" t="s">
        <v>37</v>
      </c>
      <c r="B1" s="19"/>
      <c r="C1" s="19"/>
      <c r="D1" s="19"/>
      <c r="E1" s="19"/>
      <c r="F1" s="19"/>
      <c r="G1" s="19"/>
      <c r="H1" s="19"/>
    </row>
    <row r="2" spans="1:8" ht="24" customHeight="1" x14ac:dyDescent="0.25">
      <c r="A2" s="20" t="s">
        <v>38</v>
      </c>
      <c r="B2" s="20"/>
      <c r="C2" s="20"/>
      <c r="D2" s="20"/>
      <c r="E2" s="20"/>
      <c r="F2" s="20"/>
      <c r="G2" s="20"/>
      <c r="H2" s="20"/>
    </row>
    <row r="3" spans="1:8" ht="24" customHeight="1" x14ac:dyDescent="0.25">
      <c r="A3" s="20"/>
      <c r="B3" s="20"/>
      <c r="C3" s="20"/>
      <c r="D3" s="20"/>
      <c r="E3" s="20"/>
      <c r="F3" s="20"/>
      <c r="G3" s="20"/>
      <c r="H3" s="20"/>
    </row>
    <row r="4" spans="1:8" ht="36" customHeight="1" x14ac:dyDescent="0.25">
      <c r="A4" s="4" t="s">
        <v>39</v>
      </c>
      <c r="H4" s="4" t="s">
        <v>40</v>
      </c>
    </row>
    <row r="6" spans="1:8" ht="36" customHeight="1" x14ac:dyDescent="0.25">
      <c r="A6" s="3" t="s">
        <v>41</v>
      </c>
      <c r="B6" s="3" t="s">
        <v>42</v>
      </c>
      <c r="C6" s="3" t="s">
        <v>43</v>
      </c>
      <c r="D6" s="3"/>
      <c r="E6" s="3"/>
      <c r="F6" s="3"/>
      <c r="G6" s="3"/>
      <c r="H6" s="3"/>
    </row>
    <row r="7" spans="1:8" ht="32.1" customHeight="1" x14ac:dyDescent="0.25">
      <c r="A7" s="1" t="s">
        <v>44</v>
      </c>
      <c r="B7" s="6" t="s">
        <v>45</v>
      </c>
      <c r="C7" s="5" t="s">
        <v>46</v>
      </c>
    </row>
    <row r="8" spans="1:8" ht="32.1" customHeight="1" x14ac:dyDescent="0.25">
      <c r="A8" s="1" t="s">
        <v>47</v>
      </c>
      <c r="B8" s="6" t="s">
        <v>48</v>
      </c>
      <c r="C8" s="5" t="s">
        <v>49</v>
      </c>
    </row>
    <row r="9" spans="1:8" ht="32.1" customHeight="1" x14ac:dyDescent="0.25">
      <c r="A9" s="1" t="s">
        <v>50</v>
      </c>
      <c r="B9" s="6" t="s">
        <v>51</v>
      </c>
      <c r="C9" s="5" t="s">
        <v>52</v>
      </c>
    </row>
    <row r="10" spans="1:8" ht="32.1" customHeight="1" x14ac:dyDescent="0.25">
      <c r="A10" s="1" t="s">
        <v>53</v>
      </c>
      <c r="B10" s="6" t="s">
        <v>54</v>
      </c>
      <c r="C10" s="5" t="s">
        <v>55</v>
      </c>
    </row>
    <row r="11" spans="1:8" ht="32.1" customHeight="1" x14ac:dyDescent="0.25">
      <c r="A11" s="1" t="s">
        <v>56</v>
      </c>
      <c r="B11" s="6" t="s">
        <v>57</v>
      </c>
      <c r="C11" s="5" t="s">
        <v>58</v>
      </c>
    </row>
    <row r="16" spans="1:8" ht="36" customHeight="1" x14ac:dyDescent="0.25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  <c r="F16" s="3" t="s">
        <v>64</v>
      </c>
      <c r="G16" s="3" t="s">
        <v>65</v>
      </c>
      <c r="H16" s="3" t="s">
        <v>66</v>
      </c>
    </row>
    <row r="17" spans="1:8" ht="24" customHeight="1" x14ac:dyDescent="0.25">
      <c r="A17" s="1" t="s">
        <v>67</v>
      </c>
      <c r="B17" s="1" t="s">
        <v>68</v>
      </c>
      <c r="C17" s="8">
        <v>100000</v>
      </c>
      <c r="D17" s="9">
        <v>0.04</v>
      </c>
      <c r="F17" s="6" t="s">
        <v>69</v>
      </c>
      <c r="G17" s="6" t="s">
        <v>70</v>
      </c>
      <c r="H17" s="1" t="str">
        <f>Portfolio_DepositMaturity</f>
        <v>2026-09-02</v>
      </c>
    </row>
    <row r="18" spans="1:8" ht="24" customHeight="1" x14ac:dyDescent="0.25">
      <c r="A18" s="1" t="s">
        <v>71</v>
      </c>
      <c r="B18" s="1" t="s">
        <v>68</v>
      </c>
      <c r="C18" s="8">
        <v>300000</v>
      </c>
      <c r="D18" s="9">
        <v>0.06</v>
      </c>
      <c r="F18" s="6" t="s">
        <v>69</v>
      </c>
      <c r="G18" s="6" t="s">
        <v>70</v>
      </c>
      <c r="H18" s="1" t="str">
        <f>Portfolio_DepositMaturity</f>
        <v>2026-09-02</v>
      </c>
    </row>
    <row r="19" spans="1:8" ht="24" customHeight="1" x14ac:dyDescent="0.25">
      <c r="A19" s="1" t="s">
        <v>72</v>
      </c>
      <c r="B19" s="1" t="s">
        <v>73</v>
      </c>
      <c r="C19" s="8">
        <v>100000</v>
      </c>
      <c r="D19" s="9">
        <v>0.04</v>
      </c>
      <c r="E19" s="9">
        <v>1E-3</v>
      </c>
      <c r="F19" s="6" t="s">
        <v>69</v>
      </c>
      <c r="G19" s="6" t="s">
        <v>70</v>
      </c>
      <c r="H19" s="1" t="str">
        <f>Portfolio_SwapMaturity</f>
        <v>2028-03-02</v>
      </c>
    </row>
    <row r="20" spans="1:8" ht="24" customHeight="1" x14ac:dyDescent="0.25">
      <c r="A20" s="1" t="s">
        <v>74</v>
      </c>
      <c r="B20" s="1" t="s">
        <v>73</v>
      </c>
      <c r="C20" s="8">
        <v>300000</v>
      </c>
      <c r="D20" s="9">
        <v>0.06</v>
      </c>
      <c r="E20" s="9">
        <v>3.0000000000000001E-3</v>
      </c>
      <c r="F20" s="6" t="s">
        <v>69</v>
      </c>
      <c r="G20" s="6" t="s">
        <v>70</v>
      </c>
      <c r="H20" s="1" t="str">
        <f>Portfolio_SwapMaturity</f>
        <v>2028-03-02</v>
      </c>
    </row>
    <row r="21" spans="1:8" ht="24" customHeight="1" x14ac:dyDescent="0.25">
      <c r="A21" s="1" t="s">
        <v>75</v>
      </c>
      <c r="B21" s="1" t="s">
        <v>73</v>
      </c>
      <c r="C21" s="8">
        <v>200000</v>
      </c>
      <c r="D21" s="9">
        <v>5.5E-2</v>
      </c>
      <c r="E21" s="9">
        <v>2E-3</v>
      </c>
      <c r="F21" s="6" t="s">
        <v>76</v>
      </c>
      <c r="G21" s="6" t="s">
        <v>70</v>
      </c>
      <c r="H21" s="1" t="str">
        <f>Portfolio_SwapMaturity</f>
        <v>2028-03-02</v>
      </c>
    </row>
    <row r="22" spans="1:8" ht="24" customHeight="1" x14ac:dyDescent="0.25">
      <c r="A22" s="1" t="s">
        <v>77</v>
      </c>
      <c r="B22" s="1" t="s">
        <v>73</v>
      </c>
      <c r="C22" s="8">
        <v>50000</v>
      </c>
      <c r="D22" s="9">
        <v>0.04</v>
      </c>
      <c r="E22" s="9">
        <v>1E-3</v>
      </c>
      <c r="F22" s="6" t="s">
        <v>69</v>
      </c>
      <c r="G22" s="6" t="s">
        <v>78</v>
      </c>
      <c r="H22" s="1" t="str">
        <f>Portfolio_SwapMaturity</f>
        <v>2028-03-02</v>
      </c>
    </row>
    <row r="24" spans="1:8" ht="24" customHeight="1" x14ac:dyDescent="0.25">
      <c r="A24" s="13" t="s">
        <v>79</v>
      </c>
      <c r="B24" s="13"/>
      <c r="C24" s="13"/>
      <c r="D24" s="13"/>
      <c r="E24" s="13"/>
      <c r="F24" s="13"/>
      <c r="G24" s="13"/>
      <c r="H24" s="13"/>
    </row>
    <row r="25" spans="1:8" ht="24" customHeight="1" x14ac:dyDescent="0.25">
      <c r="A25" s="13"/>
      <c r="B25" s="13"/>
      <c r="C25" s="13"/>
      <c r="D25" s="13"/>
      <c r="E25" s="13"/>
      <c r="F25" s="13"/>
      <c r="G25" s="13"/>
      <c r="H25" s="13"/>
    </row>
    <row r="27" spans="1:8" ht="36" customHeight="1" x14ac:dyDescent="0.25">
      <c r="A27" s="3" t="s">
        <v>80</v>
      </c>
      <c r="B27" s="3"/>
      <c r="C27" s="3" t="s">
        <v>81</v>
      </c>
      <c r="D27" s="3"/>
      <c r="E27" s="3"/>
      <c r="F27" s="3"/>
      <c r="G27" s="3"/>
      <c r="H27" s="3"/>
    </row>
    <row r="28" spans="1:8" ht="24" customHeight="1" x14ac:dyDescent="0.25">
      <c r="A28" s="1" t="s">
        <v>42</v>
      </c>
      <c r="C28" s="13" t="s">
        <v>82</v>
      </c>
      <c r="D28" s="13"/>
      <c r="E28" s="13"/>
      <c r="F28" s="13"/>
      <c r="G28" s="13"/>
      <c r="H28" s="13"/>
    </row>
    <row r="29" spans="1:8" ht="24" customHeight="1" x14ac:dyDescent="0.25">
      <c r="A29" s="1" t="s">
        <v>83</v>
      </c>
      <c r="C29" s="13" t="s">
        <v>84</v>
      </c>
      <c r="D29" s="13"/>
      <c r="E29" s="13"/>
      <c r="F29" s="13"/>
      <c r="G29" s="13"/>
      <c r="H29" s="13"/>
    </row>
    <row r="30" spans="1:8" ht="24" customHeight="1" x14ac:dyDescent="0.25">
      <c r="A30" s="1" t="s">
        <v>85</v>
      </c>
      <c r="C30" s="13" t="s">
        <v>86</v>
      </c>
      <c r="D30" s="13"/>
      <c r="E30" s="13"/>
      <c r="F30" s="13"/>
      <c r="G30" s="13"/>
      <c r="H30" s="13"/>
    </row>
  </sheetData>
  <mergeCells count="6">
    <mergeCell ref="C30:H30"/>
    <mergeCell ref="A1:H1"/>
    <mergeCell ref="A2:H3"/>
    <mergeCell ref="A24:H25"/>
    <mergeCell ref="C28:H28"/>
    <mergeCell ref="C29:H29"/>
  </mergeCells>
  <dataValidations count="2">
    <dataValidation type="list" allowBlank="1" showInputMessage="1" showErrorMessage="1" sqref="G17:G22" xr:uid="{00000000-0002-0000-0100-000000000000}">
      <formula1>"Receive,Pay"</formula1>
    </dataValidation>
    <dataValidation type="decimal" operator="greaterThanOrEqual" allowBlank="1" showInputMessage="1" showErrorMessage="1" sqref="C17:C22" xr:uid="{00000000-0002-0000-0100-000001000000}">
      <formula1>0</formula1>
    </dataValidation>
  </dataValidations>
  <hyperlinks>
    <hyperlink ref="A4" location="'Start Here'!A1" display="← Start Here" xr:uid="{00000000-0004-0000-0100-000000000000}"/>
    <hyperlink ref="H4" location="'2 Market'!A1" display="Next → 2 Market" xr:uid="{00000000-0004-0000-0100-000001000000}"/>
  </hyperlinks>
  <pageMargins left="0.3" right="0.3" top="0.4" bottom="0.4" header="0.3" footer="0.3"/>
  <pageSetup paperSize="9" fitToHeight="0" orientation="landscape"/>
  <headerFooter>
    <oddFooter>&amp;LQuantSupport&amp;CPositions and common dates&amp;R&amp;P / 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7AB7"/>
    <pageSetUpPr fitToPage="1"/>
  </sheetPr>
  <dimension ref="A1:C20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C1"/>
    </sheetView>
  </sheetViews>
  <sheetFormatPr baseColWidth="10" defaultColWidth="9.140625" defaultRowHeight="24" customHeight="1" x14ac:dyDescent="0.25"/>
  <cols>
    <col min="1" max="1" width="34.7109375" style="1" customWidth="1"/>
    <col min="2" max="2" width="40.7109375" style="1" customWidth="1"/>
    <col min="3" max="3" width="58.7109375" style="1" customWidth="1"/>
  </cols>
  <sheetData>
    <row r="1" spans="1:3" ht="38.1" customHeight="1" x14ac:dyDescent="0.25">
      <c r="A1" s="19" t="s">
        <v>87</v>
      </c>
      <c r="B1" s="19"/>
      <c r="C1" s="19"/>
    </row>
    <row r="2" spans="1:3" ht="24" customHeight="1" x14ac:dyDescent="0.25">
      <c r="A2" s="20" t="s">
        <v>88</v>
      </c>
      <c r="B2" s="20"/>
      <c r="C2" s="20"/>
    </row>
    <row r="3" spans="1:3" ht="24" customHeight="1" x14ac:dyDescent="0.25">
      <c r="A3" s="20"/>
      <c r="B3" s="20"/>
      <c r="C3" s="20"/>
    </row>
    <row r="4" spans="1:3" ht="36" customHeight="1" x14ac:dyDescent="0.25">
      <c r="A4" s="4" t="s">
        <v>39</v>
      </c>
      <c r="C4" s="4" t="s">
        <v>89</v>
      </c>
    </row>
    <row r="6" spans="1:3" ht="36" customHeight="1" x14ac:dyDescent="0.25">
      <c r="A6" s="3" t="s">
        <v>90</v>
      </c>
      <c r="B6" s="3" t="s">
        <v>91</v>
      </c>
      <c r="C6" s="3" t="s">
        <v>92</v>
      </c>
    </row>
    <row r="7" spans="1:3" ht="24" customHeight="1" x14ac:dyDescent="0.25">
      <c r="A7" s="1" t="s">
        <v>93</v>
      </c>
      <c r="B7" s="9">
        <v>0.03</v>
      </c>
      <c r="C7" s="9">
        <v>3.5000000000000003E-2</v>
      </c>
    </row>
    <row r="8" spans="1:3" ht="24" customHeight="1" x14ac:dyDescent="0.25">
      <c r="A8" s="1" t="s">
        <v>94</v>
      </c>
      <c r="B8" s="9">
        <v>0.03</v>
      </c>
      <c r="C8" s="9">
        <v>3.5000000000000003E-2</v>
      </c>
    </row>
    <row r="9" spans="1:3" ht="24" customHeight="1" x14ac:dyDescent="0.25">
      <c r="A9" s="1" t="s">
        <v>95</v>
      </c>
      <c r="B9" s="9">
        <v>0.03</v>
      </c>
      <c r="C9" s="9">
        <v>3.5000000000000003E-2</v>
      </c>
    </row>
    <row r="12" spans="1:3" ht="36" customHeight="1" x14ac:dyDescent="0.25">
      <c r="A12" s="3" t="s">
        <v>96</v>
      </c>
      <c r="B12" s="3" t="s">
        <v>97</v>
      </c>
      <c r="C12" s="3" t="s">
        <v>98</v>
      </c>
    </row>
    <row r="13" spans="1:3" ht="38.1" customHeight="1" x14ac:dyDescent="0.25">
      <c r="A13" s="2" t="s">
        <v>99</v>
      </c>
      <c r="B13" s="7" t="str" cm="1">
        <f t="array" ref="B13">_xll.QS.CONTEXT.CREATE("Portfolio.Root",Portfolio_ValuationDate,Portfolio_Currency,"SOFR")</f>
        <v>QSObject:PricingContext:w1~Portfolio.Root:1</v>
      </c>
      <c r="C13" s="5" t="s">
        <v>100</v>
      </c>
    </row>
    <row r="14" spans="1:3" ht="33.950000000000003" customHeight="1" x14ac:dyDescent="0.25">
      <c r="A14" s="22" t="str">
        <f ca="1">SUBSTITUTE(_xlfn.FORMULATEXT(B13),",",", ")</f>
        <v>=QS.CONTEXT.CREATE("Portfolio.Root";Portfolio_ValuationDate;Portfolio_Currency;"SOFR")</v>
      </c>
      <c r="B14" s="22"/>
      <c r="C14" s="22"/>
    </row>
    <row r="16" spans="1:3" ht="38.1" customHeight="1" x14ac:dyDescent="0.25">
      <c r="A16" s="2" t="s">
        <v>101</v>
      </c>
      <c r="B16" s="7" t="str" cm="1">
        <f t="array" ref="B16">_xll.QS.CONTEXT.ADD.ZERO.CURVE(Portfolio_Root,"SOFR",Portfolio_Pillars,Portfolio_SofrRates,"Actual360","Continuous","Annual","Linear",TRUE)</f>
        <v>QSObject:ContextInput:w1~context.input.20415403f72e339c.3170917791056.15.1:3</v>
      </c>
      <c r="C16" s="5" t="s">
        <v>102</v>
      </c>
    </row>
    <row r="17" spans="1:3" ht="33.950000000000003" customHeight="1" x14ac:dyDescent="0.25">
      <c r="A17" s="22" t="str">
        <f ca="1">SUBSTITUTE(_xlfn.FORMULATEXT(B16),",",", ")</f>
        <v>=QS.CONTEXT.ADD.ZERO.CURVE(Portfolio_Root;"SOFR";Portfolio_Pillars;Portfolio_SofrRates;"Actual360";"Continuous";"Annual";"Linear";VERDADERO)</v>
      </c>
      <c r="B17" s="22"/>
      <c r="C17" s="22"/>
    </row>
    <row r="19" spans="1:3" ht="38.1" customHeight="1" x14ac:dyDescent="0.25">
      <c r="A19" s="2" t="s">
        <v>103</v>
      </c>
      <c r="B19" s="7" t="str" cm="1">
        <f t="array" ref="B19">_xll.QS.CONTEXT.ADD.ZERO.CURVE(Portfolio_Root,"TermSOFR3m",Portfolio_Pillars,Portfolio_TermRates,"Actual360","Continuous","Annual","Linear",TRUE)</f>
        <v>QSObject:ContextInput:w1~context.input.a43b9aaeef0d8d90.3170917791056.18.1:2</v>
      </c>
      <c r="C19" s="5" t="s">
        <v>102</v>
      </c>
    </row>
    <row r="20" spans="1:3" ht="33.950000000000003" customHeight="1" x14ac:dyDescent="0.25">
      <c r="A20" s="22" t="str">
        <f ca="1">SUBSTITUTE(_xlfn.FORMULATEXT(B19),",",", ")</f>
        <v>=QS.CONTEXT.ADD.ZERO.CURVE(Portfolio_Root;"TermSOFR3m";Portfolio_Pillars;Portfolio_TermRates;"Actual360";"Continuous";"Annual";"Linear";VERDADERO)</v>
      </c>
      <c r="B20" s="22"/>
      <c r="C20" s="22"/>
    </row>
  </sheetData>
  <mergeCells count="5">
    <mergeCell ref="A1:C1"/>
    <mergeCell ref="A2:C3"/>
    <mergeCell ref="A14:C14"/>
    <mergeCell ref="A17:C17"/>
    <mergeCell ref="A20:C20"/>
  </mergeCells>
  <hyperlinks>
    <hyperlink ref="A4" location="'Start Here'!A1" display="← Start Here" xr:uid="{00000000-0004-0000-0200-000000000000}"/>
    <hyperlink ref="C4" location="'3 Build'!A1" display="Next → 3 Build" xr:uid="{00000000-0004-0000-0200-000001000000}"/>
  </hyperlinks>
  <pageMargins left="0.3" right="0.3" top="0.4" bottom="0.4" header="0.3" footer="0.3"/>
  <pageSetup paperSize="9" fitToHeight="0" orientation="landscape"/>
  <headerFooter>
    <oddFooter>&amp;LQuantSupport&amp;CExplicit zero curves&amp;R&amp;P / &amp;N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8909C"/>
    <pageSetUpPr fitToPage="1"/>
  </sheetPr>
  <dimension ref="A1:C83"/>
  <sheetViews>
    <sheetView showGridLines="0"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A8" sqref="A8:C8"/>
    </sheetView>
  </sheetViews>
  <sheetFormatPr baseColWidth="10" defaultColWidth="9.140625" defaultRowHeight="24" customHeight="1" x14ac:dyDescent="0.25"/>
  <cols>
    <col min="1" max="1" width="34.7109375" style="1" customWidth="1"/>
    <col min="2" max="3" width="48.7109375" style="1" customWidth="1"/>
  </cols>
  <sheetData>
    <row r="1" spans="1:3" ht="38.1" customHeight="1" x14ac:dyDescent="0.25">
      <c r="A1" s="19" t="s">
        <v>104</v>
      </c>
      <c r="B1" s="19"/>
      <c r="C1" s="19"/>
    </row>
    <row r="2" spans="1:3" ht="24" customHeight="1" x14ac:dyDescent="0.25">
      <c r="A2" s="20" t="s">
        <v>105</v>
      </c>
      <c r="B2" s="20"/>
      <c r="C2" s="20"/>
    </row>
    <row r="3" spans="1:3" ht="24" customHeight="1" x14ac:dyDescent="0.25">
      <c r="A3" s="20"/>
      <c r="B3" s="20"/>
      <c r="C3" s="20"/>
    </row>
    <row r="4" spans="1:3" ht="36" customHeight="1" x14ac:dyDescent="0.25">
      <c r="A4" s="4" t="s">
        <v>39</v>
      </c>
      <c r="C4" s="4" t="s">
        <v>106</v>
      </c>
    </row>
    <row r="6" spans="1:3" ht="36" customHeight="1" x14ac:dyDescent="0.25">
      <c r="A6" s="3" t="s">
        <v>107</v>
      </c>
      <c r="B6" s="3" t="s">
        <v>97</v>
      </c>
      <c r="C6" s="3" t="s">
        <v>98</v>
      </c>
    </row>
    <row r="7" spans="1:3" ht="38.1" customHeight="1" x14ac:dyDescent="0.25">
      <c r="A7" s="2" t="s">
        <v>108</v>
      </c>
      <c r="B7" s="7" t="e" cm="1">
        <f t="array" aca="1" ref="B7" ca="1">Portfolio_Root</f>
        <v>#NAME?</v>
      </c>
      <c r="C7" s="5" t="s">
        <v>109</v>
      </c>
    </row>
    <row r="8" spans="1:3" ht="33.950000000000003" customHeight="1" x14ac:dyDescent="0.25">
      <c r="A8" s="22" t="str">
        <f ca="1">SUBSTITUTE(_xlfn.FORMULATEXT(B7),",",", ")</f>
        <v>=QS.CONTEXT.PREPARE("Portfolio.Context";Portfolio_Root;Portfolio_MarketInputs)</v>
      </c>
      <c r="B8" s="22"/>
      <c r="C8" s="22"/>
    </row>
    <row r="10" spans="1:3" ht="38.1" customHeight="1" x14ac:dyDescent="0.25">
      <c r="A10" s="2" t="s">
        <v>110</v>
      </c>
      <c r="B10" s="7" t="str" cm="1">
        <f t="array" ref="B10">_xll.QS.DISCOUNT.POLICY.CSA("Portfolio.Policy",Portfolio_Currency,"SOFR")</f>
        <v>QSObject:SingleCurveCSADiscountPolicy:w1~Portfolio.Policy:5</v>
      </c>
      <c r="C10" s="5" t="s">
        <v>111</v>
      </c>
    </row>
    <row r="11" spans="1:3" ht="33.950000000000003" customHeight="1" x14ac:dyDescent="0.25">
      <c r="A11" s="22" t="str">
        <f ca="1">SUBSTITUTE(_xlfn.FORMULATEXT(B10),",",", ")</f>
        <v>=QS.DISCOUNT.POLICY.CSA("Portfolio.Policy";Portfolio_Currency;"SOFR")</v>
      </c>
      <c r="B11" s="22"/>
      <c r="C11" s="22"/>
    </row>
    <row r="13" spans="1:3" ht="38.1" customHeight="1" x14ac:dyDescent="0.25">
      <c r="A13" s="2" t="s">
        <v>112</v>
      </c>
      <c r="B13" s="7" t="str" cm="1">
        <f t="array" ref="B13">_xll.QS.PRICER.CREATE("Portfolio.Pricer","DiscountedCashflowPricer",Portfolio_Policy)</f>
        <v>QSObject:Pricer:w1~Portfolio.Pricer:7</v>
      </c>
      <c r="C13" s="5" t="s">
        <v>113</v>
      </c>
    </row>
    <row r="14" spans="1:3" ht="33.950000000000003" customHeight="1" x14ac:dyDescent="0.25">
      <c r="A14" s="22" t="str">
        <f ca="1">SUBSTITUTE(_xlfn.FORMULATEXT(B13),",",", ")</f>
        <v>=QS.PRICER.CREATE("Portfolio.Pricer";"DiscountedCashflowPricer";Portfolio_Policy)</v>
      </c>
      <c r="B14" s="22"/>
      <c r="C14" s="22"/>
    </row>
    <row r="16" spans="1:3" ht="38.1" customHeight="1" x14ac:dyDescent="0.25">
      <c r="A16" s="2" t="s">
        <v>114</v>
      </c>
      <c r="B16" s="7" t="str" cm="1">
        <f t="array" ref="B16">_xll.QS.INSTRUMENT.FIXED.RATE.DEPOSIT("Portfolio.C01.Instrument",Portfolio_Start,Portfolio_C01_Maturity,Portfolio_Currency,Portfolio_C01_Index,Portfolio_C01_Notional,Portfolio_C01_Rate,"Actual360","Simple","Annual")</f>
        <v>QSObject:FixedRateDeposit:w1~Portfolio.C01.Instrument:14</v>
      </c>
      <c r="C16" s="5" t="s">
        <v>115</v>
      </c>
    </row>
    <row r="17" spans="1:3" ht="48" customHeight="1" x14ac:dyDescent="0.25">
      <c r="A17" s="22" t="str">
        <f ca="1">SUBSTITUTE(_xlfn.FORMULATEXT(B16),",",", ")</f>
        <v>=QS.INSTRUMENT.FIXED.RATE.DEPOSIT("Portfolio.C01.Instrument";Portfolio_Start;Portfolio_C01_Maturity;Portfolio_Currency;Portfolio_C01_Index;Portfolio_C01_Notional;Portfolio_C01_Rate;"Actual360";"Simple";"Annual")</v>
      </c>
      <c r="B17" s="22"/>
      <c r="C17" s="22"/>
    </row>
    <row r="19" spans="1:3" ht="38.1" customHeight="1" x14ac:dyDescent="0.25">
      <c r="A19" s="2" t="s">
        <v>116</v>
      </c>
      <c r="B19" s="7" t="str" cm="1">
        <f t="array" ref="B19">_xll.QS.TRADE.CREATE("Portfolio.C01.Trade",Portfolio_C01_Instrument,Portfolio_ValuationDate,Portfolio_C01_Side)</f>
        <v>QSObject:FixedRateDepositTrade:w1~Portfolio.C01.Trade:16</v>
      </c>
      <c r="C19" s="5" t="s">
        <v>117</v>
      </c>
    </row>
    <row r="20" spans="1:3" ht="33.950000000000003" customHeight="1" x14ac:dyDescent="0.25">
      <c r="A20" s="22" t="str">
        <f ca="1">SUBSTITUTE(_xlfn.FORMULATEXT(B19),",",", ")</f>
        <v>=QS.TRADE.CREATE("Portfolio.C01.Trade";Portfolio_C01_Instrument;Portfolio_ValuationDate;Portfolio_C01_Side)</v>
      </c>
      <c r="B20" s="22"/>
      <c r="C20" s="22"/>
    </row>
    <row r="22" spans="1:3" ht="38.1" customHeight="1" x14ac:dyDescent="0.25">
      <c r="A22" s="2" t="s">
        <v>118</v>
      </c>
      <c r="B22" s="7" t="e" cm="1">
        <f t="array" aca="1" ref="B22" ca="1">_xll.QS.EVALUATE.RESULTS(Portfolio_Context,Portfolio_C01_Trade,Portfolio_Requests,Portfolio_Pricer)</f>
        <v>#VALUE!</v>
      </c>
      <c r="C22" s="5" t="s">
        <v>119</v>
      </c>
    </row>
    <row r="23" spans="1:3" ht="33.950000000000003" customHeight="1" x14ac:dyDescent="0.25">
      <c r="A23" s="22" t="str">
        <f ca="1">SUBSTITUTE(_xlfn.FORMULATEXT(B22),",",", ")</f>
        <v>=QS.EVALUATE.RESULTS(Portfolio_Context;Portfolio_C01_Trade;Portfolio_Requests;;Portfolio_Pricer)</v>
      </c>
      <c r="B23" s="22"/>
      <c r="C23" s="22"/>
    </row>
    <row r="25" spans="1:3" ht="38.1" customHeight="1" x14ac:dyDescent="0.25">
      <c r="A25" s="2" t="s">
        <v>120</v>
      </c>
      <c r="B25" s="7" t="str" cm="1">
        <f t="array" ref="B25">_xll.QS.INSTRUMENT.FIXED.RATE.DEPOSIT("Portfolio.C02.Instrument",Portfolio_Start,Portfolio_C02_Maturity,Portfolio_Currency,Portfolio_C02_Index,Portfolio_C02_Notional,Portfolio_C02_Rate,"Actual360","Simple","Annual")</f>
        <v>QSObject:FixedRateDeposit:w1~Portfolio.C02.Instrument:15</v>
      </c>
      <c r="C25" s="5" t="s">
        <v>115</v>
      </c>
    </row>
    <row r="26" spans="1:3" ht="48" customHeight="1" x14ac:dyDescent="0.25">
      <c r="A26" s="22" t="str">
        <f ca="1">SUBSTITUTE(_xlfn.FORMULATEXT(B25),",",", ")</f>
        <v>=QS.INSTRUMENT.FIXED.RATE.DEPOSIT("Portfolio.C02.Instrument";Portfolio_Start;Portfolio_C02_Maturity;Portfolio_Currency;Portfolio_C02_Index;Portfolio_C02_Notional;Portfolio_C02_Rate;"Actual360";"Simple";"Annual")</v>
      </c>
      <c r="B26" s="22"/>
      <c r="C26" s="22"/>
    </row>
    <row r="28" spans="1:3" ht="38.1" customHeight="1" x14ac:dyDescent="0.25">
      <c r="A28" s="2" t="s">
        <v>121</v>
      </c>
      <c r="B28" s="7" t="str" cm="1">
        <f t="array" ref="B28">_xll.QS.TRADE.CREATE("Portfolio.C02.Trade",Portfolio_C02_Instrument,Portfolio_ValuationDate,Portfolio_C02_Side)</f>
        <v>QSObject:FixedRateDepositTrade:w1~Portfolio.C02.Trade:17</v>
      </c>
      <c r="C28" s="5" t="s">
        <v>117</v>
      </c>
    </row>
    <row r="29" spans="1:3" ht="33.950000000000003" customHeight="1" x14ac:dyDescent="0.25">
      <c r="A29" s="22" t="str">
        <f ca="1">SUBSTITUTE(_xlfn.FORMULATEXT(B28),",",", ")</f>
        <v>=QS.TRADE.CREATE("Portfolio.C02.Trade";Portfolio_C02_Instrument;Portfolio_ValuationDate;Portfolio_C02_Side)</v>
      </c>
      <c r="B29" s="22"/>
      <c r="C29" s="22"/>
    </row>
    <row r="31" spans="1:3" ht="38.1" customHeight="1" x14ac:dyDescent="0.25">
      <c r="A31" s="2" t="s">
        <v>122</v>
      </c>
      <c r="B31" s="7" t="e" cm="1">
        <f t="array" aca="1" ref="B31" ca="1">_xll.QS.EVALUATE.RESULTS(Portfolio_Context,Portfolio_C02_Trade,Portfolio_Requests,Portfolio_Pricer)</f>
        <v>#VALUE!</v>
      </c>
      <c r="C31" s="5" t="s">
        <v>119</v>
      </c>
    </row>
    <row r="32" spans="1:3" ht="33.950000000000003" customHeight="1" x14ac:dyDescent="0.25">
      <c r="A32" s="22" t="str">
        <f ca="1">SUBSTITUTE(_xlfn.FORMULATEXT(B31),",",", ")</f>
        <v>=QS.EVALUATE.RESULTS(Portfolio_Context;Portfolio_C02_Trade;Portfolio_Requests;;Portfolio_Pricer)</v>
      </c>
      <c r="B32" s="22"/>
      <c r="C32" s="22"/>
    </row>
    <row r="34" spans="1:3" ht="38.1" customHeight="1" x14ac:dyDescent="0.25">
      <c r="A34" s="2" t="s">
        <v>123</v>
      </c>
      <c r="B34" s="7" t="str" cm="1">
        <f t="array" ref="B34">_xll.QS.INSTRUMENT.SWAP("Portfolio.C03.Instrument",Portfolio_Start,Portfolio_C03_Maturity,Portfolio_Currency,Portfolio_C03_Index,Portfolio_C03_Notional,Portfolio_C03_Rate,Portfolio_C03_Spread,"Actual360","Simple","Annual","Annual","Annual")</f>
        <v>QSObject:Swap:w1~Portfolio.C03.Instrument:9</v>
      </c>
      <c r="C34" s="5" t="s">
        <v>115</v>
      </c>
    </row>
    <row r="35" spans="1:3" ht="48" customHeight="1" x14ac:dyDescent="0.25">
      <c r="A35" s="22" t="str">
        <f ca="1">SUBSTITUTE(_xlfn.FORMULATEXT(B34),",",", ")</f>
        <v>=QS.INSTRUMENT.SWAP("Portfolio.C03.Instrument";Portfolio_Start;Portfolio_C03_Maturity;Portfolio_Currency;Portfolio_C03_Index;Portfolio_C03_Notional;Portfolio_C03_Rate;Portfolio_C03_Spread;"Actual360";"Simple";"Annual";"Annual";"Annual")</v>
      </c>
      <c r="B35" s="22"/>
      <c r="C35" s="22"/>
    </row>
    <row r="37" spans="1:3" ht="38.1" customHeight="1" x14ac:dyDescent="0.25">
      <c r="A37" s="2" t="s">
        <v>124</v>
      </c>
      <c r="B37" s="7" t="str" cm="1">
        <f t="array" ref="B37">_xll.QS.TRADE.CREATE("Portfolio.C03.Trade",Portfolio_C03_Instrument,Portfolio_ValuationDate,Portfolio_C03_Side)</f>
        <v>QSObject:SwapTrade:w1~Portfolio.C03.Trade:13</v>
      </c>
      <c r="C37" s="5" t="s">
        <v>117</v>
      </c>
    </row>
    <row r="38" spans="1:3" ht="33.950000000000003" customHeight="1" x14ac:dyDescent="0.25">
      <c r="A38" s="22" t="str">
        <f ca="1">SUBSTITUTE(_xlfn.FORMULATEXT(B37),",",", ")</f>
        <v>=QS.TRADE.CREATE("Portfolio.C03.Trade";Portfolio_C03_Instrument;Portfolio_ValuationDate;Portfolio_C03_Side)</v>
      </c>
      <c r="B38" s="22"/>
      <c r="C38" s="22"/>
    </row>
    <row r="40" spans="1:3" ht="38.1" customHeight="1" x14ac:dyDescent="0.25">
      <c r="A40" s="2" t="s">
        <v>125</v>
      </c>
      <c r="B40" s="7" t="e" cm="1">
        <f t="array" aca="1" ref="B40" ca="1">_xll.QS.EVALUATE.RESULTS(Portfolio_Context,Portfolio_C03_Trade,Portfolio_Requests,Portfolio_Pricer)</f>
        <v>#VALUE!</v>
      </c>
      <c r="C40" s="5" t="s">
        <v>119</v>
      </c>
    </row>
    <row r="41" spans="1:3" ht="33.950000000000003" customHeight="1" x14ac:dyDescent="0.25">
      <c r="A41" s="22" t="str">
        <f ca="1">SUBSTITUTE(_xlfn.FORMULATEXT(B40),",",", ")</f>
        <v>=QS.EVALUATE.RESULTS(Portfolio_Context;Portfolio_C03_Trade;Portfolio_Requests;;Portfolio_Pricer)</v>
      </c>
      <c r="B41" s="22"/>
      <c r="C41" s="22"/>
    </row>
    <row r="43" spans="1:3" ht="38.1" customHeight="1" x14ac:dyDescent="0.25">
      <c r="A43" s="2" t="s">
        <v>126</v>
      </c>
      <c r="B43" s="7" t="str" cm="1">
        <f t="array" ref="B43">_xll.QS.INSTRUMENT.SWAP("Portfolio.C04.Instrument",Portfolio_Start,Portfolio_C04_Maturity,Portfolio_Currency,Portfolio_C04_Index,Portfolio_C04_Notional,Portfolio_C04_Rate,Portfolio_C04_Spread,"Actual360","Simple","Annual","Annual","Annual")</f>
        <v>QSObject:Swap:w1~Portfolio.C04.Instrument:11</v>
      </c>
      <c r="C43" s="5" t="s">
        <v>115</v>
      </c>
    </row>
    <row r="44" spans="1:3" ht="48" customHeight="1" x14ac:dyDescent="0.25">
      <c r="A44" s="22" t="str">
        <f ca="1">SUBSTITUTE(_xlfn.FORMULATEXT(B43),",",", ")</f>
        <v>=QS.INSTRUMENT.SWAP("Portfolio.C04.Instrument";Portfolio_Start;Portfolio_C04_Maturity;Portfolio_Currency;Portfolio_C04_Index;Portfolio_C04_Notional;Portfolio_C04_Rate;Portfolio_C04_Spread;"Actual360";"Simple";"Annual";"Annual";"Annual")</v>
      </c>
      <c r="B44" s="22"/>
      <c r="C44" s="22"/>
    </row>
    <row r="46" spans="1:3" ht="38.1" customHeight="1" x14ac:dyDescent="0.25">
      <c r="A46" s="2" t="s">
        <v>127</v>
      </c>
      <c r="B46" s="7" t="str" cm="1">
        <f t="array" ref="B46">_xll.QS.TRADE.CREATE("Portfolio.C04.Trade",Portfolio_C04_Instrument,Portfolio_ValuationDate,Portfolio_C04_Side)</f>
        <v>QSObject:SwapTrade:w1~Portfolio.C04.Trade:12</v>
      </c>
      <c r="C46" s="5" t="s">
        <v>117</v>
      </c>
    </row>
    <row r="47" spans="1:3" ht="33.950000000000003" customHeight="1" x14ac:dyDescent="0.25">
      <c r="A47" s="22" t="str">
        <f ca="1">SUBSTITUTE(_xlfn.FORMULATEXT(B46),",",", ")</f>
        <v>=QS.TRADE.CREATE("Portfolio.C04.Trade";Portfolio_C04_Instrument;Portfolio_ValuationDate;Portfolio_C04_Side)</v>
      </c>
      <c r="B47" s="22"/>
      <c r="C47" s="22"/>
    </row>
    <row r="49" spans="1:3" ht="38.1" customHeight="1" x14ac:dyDescent="0.25">
      <c r="A49" s="2" t="s">
        <v>128</v>
      </c>
      <c r="B49" s="7" t="e" cm="1">
        <f t="array" aca="1" ref="B49" ca="1">_xll.QS.EVALUATE.RESULTS(Portfolio_Context,Portfolio_C04_Trade,Portfolio_Requests,Portfolio_Pricer)</f>
        <v>#VALUE!</v>
      </c>
      <c r="C49" s="5" t="s">
        <v>119</v>
      </c>
    </row>
    <row r="50" spans="1:3" ht="33.950000000000003" customHeight="1" x14ac:dyDescent="0.25">
      <c r="A50" s="22" t="str">
        <f ca="1">SUBSTITUTE(_xlfn.FORMULATEXT(B49),",",", ")</f>
        <v>=QS.EVALUATE.RESULTS(Portfolio_Context;Portfolio_C04_Trade;Portfolio_Requests;;Portfolio_Pricer)</v>
      </c>
      <c r="B50" s="22"/>
      <c r="C50" s="22"/>
    </row>
    <row r="52" spans="1:3" ht="38.1" customHeight="1" x14ac:dyDescent="0.25">
      <c r="A52" s="2" t="s">
        <v>129</v>
      </c>
      <c r="B52" s="7" t="str" cm="1">
        <f t="array" ref="B52">_xll.QS.INSTRUMENT.SWAP("Portfolio.C05.Instrument",Portfolio_Start,Portfolio_C05_Maturity,Portfolio_Currency,Portfolio_C05_Index,Portfolio_C05_Notional,Portfolio_C05_Rate,Portfolio_C05_Spread,"Actual360","Simple","Annual","Annual","Annual")</f>
        <v>QSObject:Swap:w1~Portfolio.C05.Instrument:4</v>
      </c>
      <c r="C52" s="5" t="s">
        <v>115</v>
      </c>
    </row>
    <row r="53" spans="1:3" ht="48" customHeight="1" x14ac:dyDescent="0.25">
      <c r="A53" s="22" t="str">
        <f ca="1">SUBSTITUTE(_xlfn.FORMULATEXT(B52),",",", ")</f>
        <v>=QS.INSTRUMENT.SWAP("Portfolio.C05.Instrument";Portfolio_Start;Portfolio_C05_Maturity;Portfolio_Currency;Portfolio_C05_Index;Portfolio_C05_Notional;Portfolio_C05_Rate;Portfolio_C05_Spread;"Actual360";"Simple";"Annual";"Annual";"Annual")</v>
      </c>
      <c r="B53" s="22"/>
      <c r="C53" s="22"/>
    </row>
    <row r="55" spans="1:3" ht="38.1" customHeight="1" x14ac:dyDescent="0.25">
      <c r="A55" s="2" t="s">
        <v>130</v>
      </c>
      <c r="B55" s="7" t="str" cm="1">
        <f t="array" ref="B55">_xll.QS.TRADE.CREATE("Portfolio.C05.Trade",Portfolio_C05_Instrument,Portfolio_ValuationDate,Portfolio_C05_Side)</f>
        <v>QSObject:SwapTrade:w1~Portfolio.C05.Trade:10</v>
      </c>
      <c r="C55" s="5" t="s">
        <v>117</v>
      </c>
    </row>
    <row r="56" spans="1:3" ht="33.950000000000003" customHeight="1" x14ac:dyDescent="0.25">
      <c r="A56" s="22" t="str">
        <f ca="1">SUBSTITUTE(_xlfn.FORMULATEXT(B55),",",", ")</f>
        <v>=QS.TRADE.CREATE("Portfolio.C05.Trade";Portfolio_C05_Instrument;Portfolio_ValuationDate;Portfolio_C05_Side)</v>
      </c>
      <c r="B56" s="22"/>
      <c r="C56" s="22"/>
    </row>
    <row r="58" spans="1:3" ht="38.1" customHeight="1" x14ac:dyDescent="0.25">
      <c r="A58" s="2" t="s">
        <v>131</v>
      </c>
      <c r="B58" s="7" t="e" cm="1">
        <f t="array" aca="1" ref="B58" ca="1">_xll.QS.EVALUATE.RESULTS(Portfolio_Context,Portfolio_C05_Trade,Portfolio_Requests,Portfolio_Pricer)</f>
        <v>#VALUE!</v>
      </c>
      <c r="C58" s="5" t="s">
        <v>119</v>
      </c>
    </row>
    <row r="59" spans="1:3" ht="33.950000000000003" customHeight="1" x14ac:dyDescent="0.25">
      <c r="A59" s="22" t="str">
        <f ca="1">SUBSTITUTE(_xlfn.FORMULATEXT(B58),",",", ")</f>
        <v>=QS.EVALUATE.RESULTS(Portfolio_Context;Portfolio_C05_Trade;Portfolio_Requests;;Portfolio_Pricer)</v>
      </c>
      <c r="B59" s="22"/>
      <c r="C59" s="22"/>
    </row>
    <row r="61" spans="1:3" ht="38.1" customHeight="1" x14ac:dyDescent="0.25">
      <c r="A61" s="2" t="s">
        <v>132</v>
      </c>
      <c r="B61" s="7" t="str" cm="1">
        <f t="array" ref="B61">_xll.QS.INSTRUMENT.SWAP("Portfolio.C06.Instrument",Portfolio_Start,Portfolio_C06_Maturity,Portfolio_Currency,Portfolio_C06_Index,Portfolio_C06_Notional,Portfolio_C06_Rate,Portfolio_C06_Spread,"Actual360","Simple","Annual","Annual","Annual")</f>
        <v>QSObject:Swap:w1~Portfolio.C06.Instrument:6</v>
      </c>
      <c r="C61" s="5" t="s">
        <v>115</v>
      </c>
    </row>
    <row r="62" spans="1:3" ht="48" customHeight="1" x14ac:dyDescent="0.25">
      <c r="A62" s="22" t="str">
        <f ca="1">SUBSTITUTE(_xlfn.FORMULATEXT(B61),",",", ")</f>
        <v>=QS.INSTRUMENT.SWAP("Portfolio.C06.Instrument";Portfolio_Start;Portfolio_C06_Maturity;Portfolio_Currency;Portfolio_C06_Index;Portfolio_C06_Notional;Portfolio_C06_Rate;Portfolio_C06_Spread;"Actual360";"Simple";"Annual";"Annual";"Annual")</v>
      </c>
      <c r="B62" s="22"/>
      <c r="C62" s="22"/>
    </row>
    <row r="64" spans="1:3" ht="38.1" customHeight="1" x14ac:dyDescent="0.25">
      <c r="A64" s="2" t="s">
        <v>133</v>
      </c>
      <c r="B64" s="7" t="str" cm="1">
        <f t="array" ref="B64">_xll.QS.TRADE.CREATE("Portfolio.C06.Trade",Portfolio_C06_Instrument,Portfolio_ValuationDate,Portfolio_C06_Side)</f>
        <v>QSObject:SwapTrade:w1~Portfolio.C06.Trade:8</v>
      </c>
      <c r="C64" s="5" t="s">
        <v>117</v>
      </c>
    </row>
    <row r="65" spans="1:3" ht="33.950000000000003" customHeight="1" x14ac:dyDescent="0.25">
      <c r="A65" s="22" t="str">
        <f ca="1">SUBSTITUTE(_xlfn.FORMULATEXT(B64),",",", ")</f>
        <v>=QS.TRADE.CREATE("Portfolio.C06.Trade";Portfolio_C06_Instrument;Portfolio_ValuationDate;Portfolio_C06_Side)</v>
      </c>
      <c r="B65" s="22"/>
      <c r="C65" s="22"/>
    </row>
    <row r="67" spans="1:3" ht="38.1" customHeight="1" x14ac:dyDescent="0.25">
      <c r="A67" s="2" t="s">
        <v>134</v>
      </c>
      <c r="B67" s="7" t="e" cm="1">
        <f t="array" aca="1" ref="B67" ca="1">_xll.QS.EVALUATE.RESULTS(Portfolio_Context,Portfolio_C06_Trade,Portfolio_Requests,Portfolio_Pricer)</f>
        <v>#VALUE!</v>
      </c>
      <c r="C67" s="5" t="s">
        <v>119</v>
      </c>
    </row>
    <row r="68" spans="1:3" ht="33.950000000000003" customHeight="1" x14ac:dyDescent="0.25">
      <c r="A68" s="22" t="str">
        <f ca="1">SUBSTITUTE(_xlfn.FORMULATEXT(B67),",",", ")</f>
        <v>=QS.EVALUATE.RESULTS(Portfolio_Context;Portfolio_C06_Trade;Portfolio_Requests;;Portfolio_Pricer)</v>
      </c>
      <c r="B68" s="22"/>
      <c r="C68" s="22"/>
    </row>
    <row r="70" spans="1:3" ht="36" customHeight="1" x14ac:dyDescent="0.25">
      <c r="A70" s="3" t="s">
        <v>135</v>
      </c>
      <c r="B70" s="3" t="s">
        <v>136</v>
      </c>
      <c r="C70" s="3" t="s">
        <v>137</v>
      </c>
    </row>
    <row r="71" spans="1:3" ht="24" customHeight="1" x14ac:dyDescent="0.25">
      <c r="A71" s="1" t="s">
        <v>67</v>
      </c>
      <c r="B71" s="7" t="str">
        <f>Portfolio_C01_Trade</f>
        <v>QSObject:FixedRateDepositTrade:w1~Portfolio.C01.Trade:16</v>
      </c>
      <c r="C71" s="7" t="e">
        <f ca="1">Portfolio_C01_Result</f>
        <v>#VALUE!</v>
      </c>
    </row>
    <row r="72" spans="1:3" ht="24" customHeight="1" x14ac:dyDescent="0.25">
      <c r="A72" s="1" t="s">
        <v>71</v>
      </c>
      <c r="B72" s="7" t="str">
        <f>Portfolio_C02_Trade</f>
        <v>QSObject:FixedRateDepositTrade:w1~Portfolio.C02.Trade:17</v>
      </c>
      <c r="C72" s="7" t="e">
        <f ca="1">Portfolio_C02_Result</f>
        <v>#VALUE!</v>
      </c>
    </row>
    <row r="73" spans="1:3" ht="24" customHeight="1" x14ac:dyDescent="0.25">
      <c r="A73" s="1" t="s">
        <v>72</v>
      </c>
      <c r="B73" s="7" t="str">
        <f>Portfolio_C03_Trade</f>
        <v>QSObject:SwapTrade:w1~Portfolio.C03.Trade:13</v>
      </c>
      <c r="C73" s="7" t="e">
        <f ca="1">Portfolio_C03_Result</f>
        <v>#VALUE!</v>
      </c>
    </row>
    <row r="74" spans="1:3" ht="24" customHeight="1" x14ac:dyDescent="0.25">
      <c r="A74" s="1" t="s">
        <v>74</v>
      </c>
      <c r="B74" s="7" t="str">
        <f>Portfolio_C04_Trade</f>
        <v>QSObject:SwapTrade:w1~Portfolio.C04.Trade:12</v>
      </c>
      <c r="C74" s="7" t="e">
        <f ca="1">Portfolio_C04_Result</f>
        <v>#VALUE!</v>
      </c>
    </row>
    <row r="75" spans="1:3" ht="24" customHeight="1" x14ac:dyDescent="0.25">
      <c r="A75" s="1" t="s">
        <v>75</v>
      </c>
      <c r="B75" s="7" t="str">
        <f>Portfolio_C05_Trade</f>
        <v>QSObject:SwapTrade:w1~Portfolio.C05.Trade:10</v>
      </c>
      <c r="C75" s="7" t="e">
        <f ca="1">Portfolio_C05_Result</f>
        <v>#VALUE!</v>
      </c>
    </row>
    <row r="76" spans="1:3" ht="24" customHeight="1" x14ac:dyDescent="0.25">
      <c r="A76" s="1" t="s">
        <v>77</v>
      </c>
      <c r="B76" s="7" t="str">
        <f>Portfolio_C06_Trade</f>
        <v>QSObject:SwapTrade:w1~Portfolio.C06.Trade:8</v>
      </c>
      <c r="C76" s="7" t="e">
        <f ca="1">Portfolio_C06_Result</f>
        <v>#VALUE!</v>
      </c>
    </row>
    <row r="79" spans="1:3" ht="38.1" customHeight="1" x14ac:dyDescent="0.25">
      <c r="A79" s="2" t="s">
        <v>138</v>
      </c>
      <c r="B79" s="7" t="str" cm="1">
        <f t="array" ref="B79">_xll.QS.PORTFOLIO.CREATE("Portfolio.Book",Portfolio_Members)</f>
        <v>QSObject:Portfolio:w1~Portfolio.Book:18</v>
      </c>
      <c r="C79" s="5" t="s">
        <v>139</v>
      </c>
    </row>
    <row r="80" spans="1:3" ht="33.950000000000003" customHeight="1" x14ac:dyDescent="0.25">
      <c r="A80" s="22" t="str">
        <f ca="1">SUBSTITUTE(_xlfn.FORMULATEXT(B79),",",", ")</f>
        <v>=QS.PORTFOLIO.CREATE("Portfolio.Book";Portfolio_Members)</v>
      </c>
      <c r="B80" s="22"/>
      <c r="C80" s="22"/>
    </row>
    <row r="82" spans="1:3" ht="38.1" customHeight="1" x14ac:dyDescent="0.25">
      <c r="A82" s="2" t="s">
        <v>140</v>
      </c>
      <c r="B82" s="7" t="e" cm="1">
        <f t="array" aca="1" ref="B82" ca="1">_xll.QS.EVALUATE.PORTFOLIO(Portfolio_Context,Portfolio_Book,Portfolio_Pricer,Portfolio_Requests,Portfolio_Currency)</f>
        <v>#VALUE!</v>
      </c>
      <c r="C82" s="5" t="s">
        <v>141</v>
      </c>
    </row>
    <row r="83" spans="1:3" ht="33.950000000000003" customHeight="1" x14ac:dyDescent="0.25">
      <c r="A83" s="22" t="str">
        <f ca="1">SUBSTITUTE(_xlfn.FORMULATEXT(B82),",",", ")</f>
        <v>=QS.EVALUATE.PORTFOLIO(Portfolio_Context;Portfolio_Book;Portfolio_Pricer;Portfolio_Requests;Portfolio_Currency)</v>
      </c>
      <c r="B83" s="22"/>
      <c r="C83" s="22"/>
    </row>
  </sheetData>
  <mergeCells count="25">
    <mergeCell ref="A1:C1"/>
    <mergeCell ref="A2:C3"/>
    <mergeCell ref="A8:C8"/>
    <mergeCell ref="A11:C11"/>
    <mergeCell ref="A14:C14"/>
    <mergeCell ref="A17:C17"/>
    <mergeCell ref="A20:C20"/>
    <mergeCell ref="A23:C23"/>
    <mergeCell ref="A26:C26"/>
    <mergeCell ref="A29:C29"/>
    <mergeCell ref="A32:C32"/>
    <mergeCell ref="A35:C35"/>
    <mergeCell ref="A38:C38"/>
    <mergeCell ref="A41:C41"/>
    <mergeCell ref="A44:C44"/>
    <mergeCell ref="A47:C47"/>
    <mergeCell ref="A50:C50"/>
    <mergeCell ref="A53:C53"/>
    <mergeCell ref="A56:C56"/>
    <mergeCell ref="A59:C59"/>
    <mergeCell ref="A62:C62"/>
    <mergeCell ref="A65:C65"/>
    <mergeCell ref="A68:C68"/>
    <mergeCell ref="A80:C80"/>
    <mergeCell ref="A83:C83"/>
  </mergeCells>
  <hyperlinks>
    <hyperlink ref="A4" location="'Start Here'!A1" display="← Start Here" xr:uid="{00000000-0004-0000-0300-000000000000}"/>
    <hyperlink ref="C4" location="'4 Results'!A1" display="Next → 4 Results" xr:uid="{00000000-0004-0000-0300-000001000000}"/>
  </hyperlinks>
  <pageMargins left="0.3" right="0.3" top="0.4" bottom="0.4" header="0.3" footer="0.3"/>
  <pageSetup paperSize="9" fitToHeight="0" orientation="landscape"/>
  <headerFooter>
    <oddFooter>&amp;LQuantSupport&amp;CBuild trades and aggregate a handle range&amp;R&amp;P / &amp;N</oddFooter>
  </headerFooter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5B"/>
    <pageSetUpPr fitToPage="1"/>
  </sheetPr>
  <dimension ref="A1:C26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baseColWidth="10" defaultColWidth="9.140625" defaultRowHeight="24" customHeight="1" x14ac:dyDescent="0.25"/>
  <cols>
    <col min="1" max="1" width="38.7109375" style="1" customWidth="1"/>
    <col min="2" max="2" width="24.7109375" style="1" customWidth="1"/>
    <col min="3" max="3" width="70.7109375" style="1" customWidth="1"/>
  </cols>
  <sheetData>
    <row r="1" spans="1:3" ht="38.1" customHeight="1" x14ac:dyDescent="0.25">
      <c r="A1" s="19" t="s">
        <v>142</v>
      </c>
      <c r="B1" s="19"/>
      <c r="C1" s="19"/>
    </row>
    <row r="2" spans="1:3" ht="24" customHeight="1" x14ac:dyDescent="0.25">
      <c r="A2" s="20" t="s">
        <v>143</v>
      </c>
      <c r="B2" s="20"/>
      <c r="C2" s="20"/>
    </row>
    <row r="3" spans="1:3" ht="24" customHeight="1" x14ac:dyDescent="0.25">
      <c r="A3" s="20"/>
      <c r="B3" s="20"/>
      <c r="C3" s="20"/>
    </row>
    <row r="4" spans="1:3" ht="36" customHeight="1" x14ac:dyDescent="0.25">
      <c r="A4" s="4" t="s">
        <v>39</v>
      </c>
      <c r="C4" s="4" t="s">
        <v>144</v>
      </c>
    </row>
    <row r="6" spans="1:3" ht="36" customHeight="1" x14ac:dyDescent="0.25">
      <c r="A6" s="3" t="s">
        <v>145</v>
      </c>
      <c r="B6" s="3" t="s">
        <v>42</v>
      </c>
      <c r="C6" s="3" t="s">
        <v>146</v>
      </c>
    </row>
    <row r="7" spans="1:3" ht="33.950000000000003" customHeight="1" x14ac:dyDescent="0.25">
      <c r="A7" s="1" t="s">
        <v>147</v>
      </c>
      <c r="B7" s="10" t="e" cm="1">
        <f t="array" aca="1" ref="B7" ca="1">_xll.QS.RESULT.VALUE(Portfolio_Result)</f>
        <v>#VALUE!</v>
      </c>
      <c r="C7" s="5" t="s">
        <v>148</v>
      </c>
    </row>
    <row r="8" spans="1:3" ht="33.950000000000003" customHeight="1" x14ac:dyDescent="0.25">
      <c r="A8" s="1" t="s">
        <v>149</v>
      </c>
      <c r="B8" s="10" t="e">
        <f ca="1">SUM(B21:B26)</f>
        <v>#VALUE!</v>
      </c>
      <c r="C8" s="5" t="s">
        <v>150</v>
      </c>
    </row>
    <row r="9" spans="1:3" ht="33.950000000000003" customHeight="1" x14ac:dyDescent="0.25">
      <c r="A9" s="1" t="s">
        <v>151</v>
      </c>
      <c r="B9" s="10" t="e">
        <f ca="1">Portfolio_PV-Portfolio_SumPV</f>
        <v>#VALUE!</v>
      </c>
      <c r="C9" s="5" t="s">
        <v>152</v>
      </c>
    </row>
    <row r="11" spans="1:3" ht="33.950000000000003" customHeight="1" x14ac:dyDescent="0.25">
      <c r="A11" s="1" t="s">
        <v>153</v>
      </c>
      <c r="B11" s="11">
        <f>SUMPRODUCT('1 Positions'!C17:C18,'1 Positions'!D17:D18)/SUM('1 Positions'!C17:C18)</f>
        <v>5.5E-2</v>
      </c>
      <c r="C11" s="5" t="s">
        <v>154</v>
      </c>
    </row>
    <row r="12" spans="1:3" ht="33.950000000000003" customHeight="1" x14ac:dyDescent="0.25">
      <c r="A12" s="1" t="s">
        <v>155</v>
      </c>
      <c r="B12" s="11">
        <f>SUMPRODUCT('1 Positions'!C19:C20,'1 Positions'!E19:E20)/SUM('1 Positions'!C19:C20)</f>
        <v>2.5000000000000001E-3</v>
      </c>
      <c r="C12" s="5" t="s">
        <v>156</v>
      </c>
    </row>
    <row r="15" spans="1:3" ht="24" customHeight="1" x14ac:dyDescent="0.25">
      <c r="A15" s="13" t="s">
        <v>157</v>
      </c>
      <c r="B15" s="13"/>
      <c r="C15" s="13"/>
    </row>
    <row r="16" spans="1:3" ht="24" customHeight="1" x14ac:dyDescent="0.25">
      <c r="A16" s="13"/>
      <c r="B16" s="13"/>
      <c r="C16" s="13"/>
    </row>
    <row r="17" spans="1:3" ht="24" customHeight="1" x14ac:dyDescent="0.25">
      <c r="A17" s="13"/>
      <c r="B17" s="13"/>
      <c r="C17" s="13"/>
    </row>
    <row r="20" spans="1:3" ht="36" customHeight="1" x14ac:dyDescent="0.25">
      <c r="A20" s="3" t="s">
        <v>59</v>
      </c>
      <c r="B20" s="3" t="s">
        <v>158</v>
      </c>
      <c r="C20" s="3" t="s">
        <v>159</v>
      </c>
    </row>
    <row r="21" spans="1:3" ht="24" customHeight="1" x14ac:dyDescent="0.25">
      <c r="A21" s="1" t="s">
        <v>67</v>
      </c>
      <c r="B21" s="10" t="e" cm="1">
        <f t="array" aca="1" ref="B21" ca="1">_xll.QS.RESULT.VALUE(Portfolio_C01_Result)</f>
        <v>#VALUE!</v>
      </c>
      <c r="C21" s="7" t="e">
        <f ca="1">Portfolio_C01_Result</f>
        <v>#VALUE!</v>
      </c>
    </row>
    <row r="22" spans="1:3" ht="24" customHeight="1" x14ac:dyDescent="0.25">
      <c r="A22" s="1" t="s">
        <v>71</v>
      </c>
      <c r="B22" s="10" t="e" cm="1">
        <f t="array" aca="1" ref="B22" ca="1">_xll.QS.RESULT.VALUE(Portfolio_C02_Result)</f>
        <v>#VALUE!</v>
      </c>
      <c r="C22" s="7" t="e">
        <f ca="1">Portfolio_C02_Result</f>
        <v>#VALUE!</v>
      </c>
    </row>
    <row r="23" spans="1:3" ht="24" customHeight="1" x14ac:dyDescent="0.25">
      <c r="A23" s="1" t="s">
        <v>72</v>
      </c>
      <c r="B23" s="10" t="e" cm="1">
        <f t="array" aca="1" ref="B23" ca="1">_xll.QS.RESULT.VALUE(Portfolio_C03_Result)</f>
        <v>#VALUE!</v>
      </c>
      <c r="C23" s="7" t="e">
        <f ca="1">Portfolio_C03_Result</f>
        <v>#VALUE!</v>
      </c>
    </row>
    <row r="24" spans="1:3" ht="24" customHeight="1" x14ac:dyDescent="0.25">
      <c r="A24" s="1" t="s">
        <v>74</v>
      </c>
      <c r="B24" s="10" t="e" cm="1">
        <f t="array" aca="1" ref="B24" ca="1">_xll.QS.RESULT.VALUE(Portfolio_C04_Result)</f>
        <v>#VALUE!</v>
      </c>
      <c r="C24" s="7" t="e">
        <f ca="1">Portfolio_C04_Result</f>
        <v>#VALUE!</v>
      </c>
    </row>
    <row r="25" spans="1:3" ht="24" customHeight="1" x14ac:dyDescent="0.25">
      <c r="A25" s="1" t="s">
        <v>75</v>
      </c>
      <c r="B25" s="10" t="e" cm="1">
        <f t="array" aca="1" ref="B25" ca="1">_xll.QS.RESULT.VALUE(Portfolio_C05_Result)</f>
        <v>#VALUE!</v>
      </c>
      <c r="C25" s="7" t="e">
        <f ca="1">Portfolio_C05_Result</f>
        <v>#VALUE!</v>
      </c>
    </row>
    <row r="26" spans="1:3" ht="24" customHeight="1" x14ac:dyDescent="0.25">
      <c r="A26" s="1" t="s">
        <v>77</v>
      </c>
      <c r="B26" s="10" t="e" cm="1">
        <f t="array" aca="1" ref="B26" ca="1">_xll.QS.RESULT.VALUE(Portfolio_C06_Result)</f>
        <v>#VALUE!</v>
      </c>
      <c r="C26" s="7" t="e">
        <f ca="1">Portfolio_C06_Result</f>
        <v>#VALUE!</v>
      </c>
    </row>
  </sheetData>
  <mergeCells count="3">
    <mergeCell ref="A1:C1"/>
    <mergeCell ref="A2:C3"/>
    <mergeCell ref="A15:C17"/>
  </mergeCells>
  <hyperlinks>
    <hyperlink ref="A4" location="'Start Here'!A1" display="← Start Here" xr:uid="{00000000-0004-0000-0400-000000000000}"/>
    <hyperlink ref="C4" location="'5 Coupons'!A1" display="Next → 5 Coupons" xr:uid="{00000000-0004-0000-0400-000001000000}"/>
  </hyperlinks>
  <pageMargins left="0.3" right="0.3" top="0.4" bottom="0.4" header="0.3" footer="0.3"/>
  <pageSetup paperSize="9" fitToHeight="0" orientation="landscape"/>
  <headerFooter>
    <oddFooter>&amp;LQuantSupport&amp;CPortfolio PV and weighted quote checks&amp;R&amp;P / &amp;N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8909C"/>
    <pageSetUpPr fitToPage="1"/>
  </sheetPr>
  <dimension ref="A1:R7"/>
  <sheetViews>
    <sheetView showGridLines="0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9.140625" defaultRowHeight="24" customHeight="1" x14ac:dyDescent="0.25"/>
  <cols>
    <col min="1" max="1" width="17.7109375" style="1" customWidth="1"/>
    <col min="2" max="2" width="25.7109375" style="1" customWidth="1"/>
    <col min="3" max="3" width="12.7109375" style="1" customWidth="1"/>
    <col min="4" max="4" width="21.7109375" style="10" customWidth="1"/>
    <col min="5" max="6" width="17.7109375" style="1" customWidth="1"/>
    <col min="7" max="8" width="19.7109375" style="1" customWidth="1"/>
    <col min="9" max="9" width="21.7109375" style="10" customWidth="1"/>
    <col min="10" max="12" width="17.7109375" style="11" customWidth="1"/>
    <col min="13" max="13" width="14.7109375" style="1" customWidth="1"/>
    <col min="14" max="14" width="18.7109375" style="1" customWidth="1"/>
    <col min="15" max="15" width="20.7109375" style="1" customWidth="1"/>
    <col min="16" max="16" width="18.7109375" style="1" customWidth="1"/>
    <col min="17" max="17" width="46.7109375" style="1" customWidth="1"/>
    <col min="18" max="18" width="36.7109375" style="1" customWidth="1"/>
  </cols>
  <sheetData>
    <row r="1" spans="1:18" ht="38.1" customHeight="1" x14ac:dyDescent="0.25">
      <c r="A1" s="19" t="s">
        <v>160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24" customHeight="1" x14ac:dyDescent="0.25">
      <c r="A2" s="20" t="s">
        <v>161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24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36" customHeight="1" x14ac:dyDescent="0.25">
      <c r="A4" s="4" t="s">
        <v>39</v>
      </c>
      <c r="R4" s="4" t="s">
        <v>162</v>
      </c>
    </row>
    <row r="7" spans="1:18" ht="24" customHeight="1" x14ac:dyDescent="0.25">
      <c r="A7" s="1" t="e" cm="1">
        <f t="array" aca="1" ref="A7" ca="1">_xll.QS.RESULT.COUPONS(Portfolio_Result)</f>
        <v>#VALUE!</v>
      </c>
    </row>
  </sheetData>
  <mergeCells count="2">
    <mergeCell ref="A1:R1"/>
    <mergeCell ref="A2:R3"/>
  </mergeCells>
  <hyperlinks>
    <hyperlink ref="A4" location="'Start Here'!A1" display="← Start Here" xr:uid="{00000000-0004-0000-0500-000000000000}"/>
    <hyperlink ref="R4" location="'6 Cashflows'!A1" display="Next → 6 Cashflows" xr:uid="{00000000-0004-0000-0500-000001000000}"/>
  </hyperlinks>
  <pageMargins left="0.3" right="0.3" top="0.4" bottom="0.4" header="0.3" footer="0.3"/>
  <pageSetup paperSize="9" fitToHeight="0" orientation="landscape"/>
  <headerFooter>
    <oddFooter>&amp;LQuantSupport&amp;CAggregated cashflows and coupon terms&amp;R&amp;P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8909C"/>
    <pageSetUpPr fitToPage="1"/>
  </sheetPr>
  <dimension ref="A1:F7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9.140625" defaultRowHeight="24" customHeight="1" x14ac:dyDescent="0.25"/>
  <cols>
    <col min="1" max="1" width="18.7109375" style="1" customWidth="1"/>
    <col min="2" max="2" width="14.7109375" style="1" customWidth="1"/>
    <col min="3" max="6" width="22.7109375" style="10" customWidth="1"/>
  </cols>
  <sheetData>
    <row r="1" spans="1:6" ht="38.1" customHeight="1" x14ac:dyDescent="0.25">
      <c r="A1" s="19" t="s">
        <v>163</v>
      </c>
      <c r="B1" s="19"/>
      <c r="C1" s="19"/>
      <c r="D1" s="19"/>
      <c r="E1" s="19"/>
      <c r="F1" s="19"/>
    </row>
    <row r="2" spans="1:6" ht="24" customHeight="1" x14ac:dyDescent="0.25">
      <c r="A2" s="20" t="s">
        <v>164</v>
      </c>
      <c r="B2" s="20"/>
      <c r="C2" s="20"/>
      <c r="D2" s="20"/>
      <c r="E2" s="20"/>
      <c r="F2" s="20"/>
    </row>
    <row r="3" spans="1:6" ht="24" customHeight="1" x14ac:dyDescent="0.25">
      <c r="A3" s="20"/>
      <c r="B3" s="20"/>
      <c r="C3" s="20"/>
      <c r="D3" s="20"/>
      <c r="E3" s="20"/>
      <c r="F3" s="20"/>
    </row>
    <row r="4" spans="1:6" ht="36" customHeight="1" x14ac:dyDescent="0.25">
      <c r="A4" s="4" t="s">
        <v>39</v>
      </c>
      <c r="F4" s="4" t="s">
        <v>165</v>
      </c>
    </row>
    <row r="7" spans="1:6" ht="24" customHeight="1" x14ac:dyDescent="0.25">
      <c r="A7" s="1" t="e" cm="1">
        <f t="array" aca="1" ref="A7" ca="1">_xll.QS.RESULT.CASHFLOW.SUMMARY(Portfolio_Result)</f>
        <v>#VALUE!</v>
      </c>
    </row>
  </sheetData>
  <mergeCells count="2">
    <mergeCell ref="A1:F1"/>
    <mergeCell ref="A2:F3"/>
  </mergeCells>
  <hyperlinks>
    <hyperlink ref="A4" location="'Start Here'!A1" display="← Start Here" xr:uid="{00000000-0004-0000-0600-000000000000}"/>
    <hyperlink ref="F4" location="'7 Risk'!A1" display="Next → 7 Risk" xr:uid="{00000000-0004-0000-0600-000001000000}"/>
  </hyperlinks>
  <pageMargins left="0.3" right="0.3" top="0.4" bottom="0.4" header="0.3" footer="0.3"/>
  <pageSetup paperSize="9" fitToHeight="0" orientation="landscape"/>
  <headerFooter>
    <oddFooter>&amp;LQuantSupport&amp;CPayments by date: interest and capital&amp;R&amp;P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8909C"/>
    <pageSetUpPr fitToPage="1"/>
  </sheetPr>
  <dimension ref="A1:C7"/>
  <sheetViews>
    <sheetView showGridLines="0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baseColWidth="10" defaultColWidth="9.140625" defaultRowHeight="24" customHeight="1" x14ac:dyDescent="0.25"/>
  <cols>
    <col min="1" max="1" width="65.7109375" style="1" customWidth="1"/>
    <col min="2" max="2" width="26.7109375" style="10" customWidth="1"/>
    <col min="3" max="3" width="35.7109375" style="1" customWidth="1"/>
  </cols>
  <sheetData>
    <row r="1" spans="1:3" ht="38.1" customHeight="1" x14ac:dyDescent="0.25">
      <c r="A1" s="19" t="s">
        <v>166</v>
      </c>
      <c r="B1" s="19"/>
      <c r="C1" s="19"/>
    </row>
    <row r="2" spans="1:3" ht="24" customHeight="1" x14ac:dyDescent="0.25">
      <c r="A2" s="20" t="s">
        <v>167</v>
      </c>
      <c r="B2" s="20"/>
      <c r="C2" s="20"/>
    </row>
    <row r="3" spans="1:3" ht="24" customHeight="1" x14ac:dyDescent="0.25">
      <c r="A3" s="20"/>
      <c r="B3" s="20"/>
      <c r="C3" s="20"/>
    </row>
    <row r="4" spans="1:3" ht="24" customHeight="1" x14ac:dyDescent="0.25">
      <c r="A4" s="4" t="s">
        <v>39</v>
      </c>
    </row>
    <row r="7" spans="1:3" ht="24" customHeight="1" x14ac:dyDescent="0.25">
      <c r="A7" s="1" t="e" cm="1">
        <f t="array" aca="1" ref="A7" ca="1">_xll.QS.RESULT.SENSITIVITIES(Portfolio_Result)</f>
        <v>#VALUE!</v>
      </c>
    </row>
  </sheetData>
  <mergeCells count="2">
    <mergeCell ref="A1:C1"/>
    <mergeCell ref="A2:C3"/>
  </mergeCells>
  <hyperlinks>
    <hyperlink ref="A4" location="'Start Here'!A1" display="← Start Here" xr:uid="{00000000-0004-0000-0700-000000000000}"/>
  </hyperlinks>
  <pageMargins left="0.3" right="0.3" top="0.4" bottom="0.4" header="0.3" footer="0.3"/>
  <pageSetup paperSize="9" fitToHeight="0" orientation="landscape"/>
  <headerFooter>
    <oddFooter>&amp;LQuantSupport&amp;CPortfolio sensitivities by original risk factor&amp;R&amp;P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104</vt:i4>
      </vt:variant>
    </vt:vector>
  </HeadingPairs>
  <TitlesOfParts>
    <vt:vector size="112" baseType="lpstr">
      <vt:lpstr>Start Here</vt:lpstr>
      <vt:lpstr>1 Positions</vt:lpstr>
      <vt:lpstr>2 Market</vt:lpstr>
      <vt:lpstr>3 Build</vt:lpstr>
      <vt:lpstr>4 Results</vt:lpstr>
      <vt:lpstr>5 Coupons</vt:lpstr>
      <vt:lpstr>6 Cashflows</vt:lpstr>
      <vt:lpstr>7 Risk</vt:lpstr>
      <vt:lpstr>'Start Here'!Área_de_impresión</vt:lpstr>
      <vt:lpstr>Portfolio_Book</vt:lpstr>
      <vt:lpstr>Portfolio_C01_Index</vt:lpstr>
      <vt:lpstr>Portfolio_C01_Instrument</vt:lpstr>
      <vt:lpstr>Portfolio_C01_Kind</vt:lpstr>
      <vt:lpstr>Portfolio_C01_Maturity</vt:lpstr>
      <vt:lpstr>Portfolio_C01_Name</vt:lpstr>
      <vt:lpstr>Portfolio_C01_Notional</vt:lpstr>
      <vt:lpstr>Portfolio_C01_PV</vt:lpstr>
      <vt:lpstr>Portfolio_C01_Rate</vt:lpstr>
      <vt:lpstr>Portfolio_C01_Result</vt:lpstr>
      <vt:lpstr>Portfolio_C01_Side</vt:lpstr>
      <vt:lpstr>Portfolio_C01_Spread</vt:lpstr>
      <vt:lpstr>Portfolio_C01_Trade</vt:lpstr>
      <vt:lpstr>Portfolio_C02_Index</vt:lpstr>
      <vt:lpstr>Portfolio_C02_Instrument</vt:lpstr>
      <vt:lpstr>Portfolio_C02_Kind</vt:lpstr>
      <vt:lpstr>Portfolio_C02_Maturity</vt:lpstr>
      <vt:lpstr>Portfolio_C02_Name</vt:lpstr>
      <vt:lpstr>Portfolio_C02_Notional</vt:lpstr>
      <vt:lpstr>Portfolio_C02_PV</vt:lpstr>
      <vt:lpstr>Portfolio_C02_Rate</vt:lpstr>
      <vt:lpstr>Portfolio_C02_Result</vt:lpstr>
      <vt:lpstr>Portfolio_C02_Side</vt:lpstr>
      <vt:lpstr>Portfolio_C02_Spread</vt:lpstr>
      <vt:lpstr>Portfolio_C02_Trade</vt:lpstr>
      <vt:lpstr>Portfolio_C03_Index</vt:lpstr>
      <vt:lpstr>Portfolio_C03_Instrument</vt:lpstr>
      <vt:lpstr>Portfolio_C03_Kind</vt:lpstr>
      <vt:lpstr>Portfolio_C03_Maturity</vt:lpstr>
      <vt:lpstr>Portfolio_C03_Name</vt:lpstr>
      <vt:lpstr>Portfolio_C03_Notional</vt:lpstr>
      <vt:lpstr>Portfolio_C03_PV</vt:lpstr>
      <vt:lpstr>Portfolio_C03_Rate</vt:lpstr>
      <vt:lpstr>Portfolio_C03_Result</vt:lpstr>
      <vt:lpstr>Portfolio_C03_Side</vt:lpstr>
      <vt:lpstr>Portfolio_C03_Spread</vt:lpstr>
      <vt:lpstr>Portfolio_C03_Trade</vt:lpstr>
      <vt:lpstr>Portfolio_C04_Index</vt:lpstr>
      <vt:lpstr>Portfolio_C04_Instrument</vt:lpstr>
      <vt:lpstr>Portfolio_C04_Kind</vt:lpstr>
      <vt:lpstr>Portfolio_C04_Maturity</vt:lpstr>
      <vt:lpstr>Portfolio_C04_Name</vt:lpstr>
      <vt:lpstr>Portfolio_C04_Notional</vt:lpstr>
      <vt:lpstr>Portfolio_C04_PV</vt:lpstr>
      <vt:lpstr>Portfolio_C04_Rate</vt:lpstr>
      <vt:lpstr>Portfolio_C04_Result</vt:lpstr>
      <vt:lpstr>Portfolio_C04_Side</vt:lpstr>
      <vt:lpstr>Portfolio_C04_Spread</vt:lpstr>
      <vt:lpstr>Portfolio_C04_Trade</vt:lpstr>
      <vt:lpstr>Portfolio_C05_Index</vt:lpstr>
      <vt:lpstr>Portfolio_C05_Instrument</vt:lpstr>
      <vt:lpstr>Portfolio_C05_Kind</vt:lpstr>
      <vt:lpstr>Portfolio_C05_Maturity</vt:lpstr>
      <vt:lpstr>Portfolio_C05_Name</vt:lpstr>
      <vt:lpstr>Portfolio_C05_Notional</vt:lpstr>
      <vt:lpstr>Portfolio_C05_PV</vt:lpstr>
      <vt:lpstr>Portfolio_C05_Rate</vt:lpstr>
      <vt:lpstr>Portfolio_C05_Result</vt:lpstr>
      <vt:lpstr>Portfolio_C05_Side</vt:lpstr>
      <vt:lpstr>Portfolio_C05_Spread</vt:lpstr>
      <vt:lpstr>Portfolio_C05_Trade</vt:lpstr>
      <vt:lpstr>Portfolio_C06_Index</vt:lpstr>
      <vt:lpstr>Portfolio_C06_Instrument</vt:lpstr>
      <vt:lpstr>Portfolio_C06_Kind</vt:lpstr>
      <vt:lpstr>Portfolio_C06_Maturity</vt:lpstr>
      <vt:lpstr>Portfolio_C06_Name</vt:lpstr>
      <vt:lpstr>Portfolio_C06_Notional</vt:lpstr>
      <vt:lpstr>Portfolio_C06_PV</vt:lpstr>
      <vt:lpstr>Portfolio_C06_Rate</vt:lpstr>
      <vt:lpstr>Portfolio_C06_Result</vt:lpstr>
      <vt:lpstr>Portfolio_C06_Side</vt:lpstr>
      <vt:lpstr>Portfolio_C06_Spread</vt:lpstr>
      <vt:lpstr>Portfolio_C06_Trade</vt:lpstr>
      <vt:lpstr>Portfolio_Context</vt:lpstr>
      <vt:lpstr>Portfolio_Currency</vt:lpstr>
      <vt:lpstr>Portfolio_Curves</vt:lpstr>
      <vt:lpstr>Portfolio_DepositMaturity</vt:lpstr>
      <vt:lpstr>Portfolio_DepositRate</vt:lpstr>
      <vt:lpstr>Portfolio_MarketInputs</vt:lpstr>
      <vt:lpstr>Portfolio_Members</vt:lpstr>
      <vt:lpstr>Portfolio_Pillars</vt:lpstr>
      <vt:lpstr>Portfolio_Policy</vt:lpstr>
      <vt:lpstr>Portfolio_Pricer</vt:lpstr>
      <vt:lpstr>Portfolio_PV</vt:lpstr>
      <vt:lpstr>Portfolio_PVDifference</vt:lpstr>
      <vt:lpstr>Portfolio_Requests</vt:lpstr>
      <vt:lpstr>Portfolio_Result</vt:lpstr>
      <vt:lpstr>Portfolio_Root</vt:lpstr>
      <vt:lpstr>Portfolio_SofrCurves</vt:lpstr>
      <vt:lpstr>Portfolio_SofrRates</vt:lpstr>
      <vt:lpstr>Portfolio_SofrSpread</vt:lpstr>
      <vt:lpstr>Portfolio_Start</vt:lpstr>
      <vt:lpstr>Portfolio_SumPV</vt:lpstr>
      <vt:lpstr>Portfolio_SwapMaturity</vt:lpstr>
      <vt:lpstr>Portfolio_TermRates</vt:lpstr>
      <vt:lpstr>Portfolio_ValuationDate</vt:lpstr>
      <vt:lpstr>'1 Positions'!Títulos_a_imprimir</vt:lpstr>
      <vt:lpstr>'2 Market'!Títulos_a_imprimir</vt:lpstr>
      <vt:lpstr>'3 Build'!Títulos_a_imprimir</vt:lpstr>
      <vt:lpstr>'4 Results'!Títulos_a_imprimir</vt:lpstr>
      <vt:lpstr>'5 Coupons'!Títulos_a_imprimir</vt:lpstr>
      <vt:lpstr>'6 Cashflows'!Títulos_a_imprimir</vt:lpstr>
      <vt:lpstr>'7 Risk'!Títulos_a_imprimir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aggregation · coupons, payments and risk</dc:title>
  <dc:creator/>
  <cp:lastModifiedBy>Jose Pedro Melo</cp:lastModifiedBy>
  <dcterms:created xsi:type="dcterms:W3CDTF">2026-01-01T00:00:00Z</dcterms:created>
  <dcterms:modified xsi:type="dcterms:W3CDTF">2026-10-24T08:23:54Z</dcterms:modified>
</cp:coreProperties>
</file>