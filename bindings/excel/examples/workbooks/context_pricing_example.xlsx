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018bc907cdb526/Escritorio/Pega/quantsupport/bindings/excel/examples/"/>
    </mc:Choice>
  </mc:AlternateContent>
  <xr:revisionPtr revIDLastSave="3" documentId="11_914557D0E66EF7BA0022C842A8CE2DCAF1774E76" xr6:coauthVersionLast="47" xr6:coauthVersionMax="47" xr10:uidLastSave="{C7880597-9D01-4A61-B394-7BEC61C604B9}"/>
  <bookViews>
    <workbookView xWindow="-120" yWindow="-120" windowWidth="29040" windowHeight="15720" activeTab="4" xr2:uid="{00000000-000D-0000-FFFF-FFFF00000000}"/>
  </bookViews>
  <sheets>
    <sheet name="Start Here" sheetId="1" r:id="rId1"/>
    <sheet name="1 Inputs" sheetId="2" r:id="rId2"/>
    <sheet name="2 Contexts" sheetId="3" r:id="rId3"/>
    <sheet name="3 Contracts" sheetId="4" r:id="rId4"/>
    <sheet name="4 Results" sheetId="5" r:id="rId5"/>
  </sheets>
  <definedNames>
    <definedName name="_xlnm.Print_Area" localSheetId="0">'Start Here'!$A$1:$F$27</definedName>
    <definedName name="Context_Archive">'3 Contracts'!$B$25</definedName>
    <definedName name="Context_Balloon">'1 Inputs'!$B$12</definedName>
    <definedName name="Context_Cashflows">'4 Results'!$A$13</definedName>
    <definedName name="Context_Date">'1 Inputs'!$B$7</definedName>
    <definedName name="Context_FairRate">'4 Results'!$B$8</definedName>
    <definedName name="Context_HistoryInstruments">'4 Results'!$E$7:$E$9</definedName>
    <definedName name="Context_HistoryValues">'4 Results'!$G$7</definedName>
    <definedName name="Context_Inputs">'2 Contexts'!$B$12:$B$13</definedName>
    <definedName name="Context_Loan">'3 Contracts'!$B$10</definedName>
    <definedName name="Context_Maturity">'1 Inputs'!$B$9</definedName>
    <definedName name="Context_NextDate">'1 Inputs'!$B$8</definedName>
    <definedName name="Context_NextInputs">'2 Contexts'!$B$24</definedName>
    <definedName name="Context_NextRoot">'2 Contexts'!$B$19</definedName>
    <definedName name="Context_NextSnapshot">'3 Contracts'!$B$19</definedName>
    <definedName name="Context_Notional">'1 Inputs'!$B$10</definedName>
    <definedName name="Context_ObservationTimes">'3 Contracts'!$D$22:$D$23</definedName>
    <definedName name="Context_Options">'3 Contracts'!$B$7</definedName>
    <definedName name="Context_Originations">'4 Results'!$F$7:$F$9</definedName>
    <definedName name="Context_Pricer">'3 Contracts'!$B$13</definedName>
    <definedName name="Context_PV">'4 Results'!$B$7</definedName>
    <definedName name="Context_QuoteIds">'1 Inputs'!$A$18:$A$30</definedName>
    <definedName name="Context_QuoteMid">'1 Inputs'!$D$17:$P$17</definedName>
    <definedName name="Context_Rate">'1 Inputs'!$B$11</definedName>
    <definedName name="Context_Risk">'4 Results'!$A$161</definedName>
    <definedName name="Context_Root">'2 Contexts'!$B$7</definedName>
    <definedName name="Context_Snapshot">'3 Contracts'!$B$16</definedName>
    <definedName name="Context_Snapshots">'3 Contracts'!$B$22:$B$23</definedName>
    <definedName name="_xlnm.Print_Titles" localSheetId="1">'1 Inputs'!$1:$6</definedName>
    <definedName name="_xlnm.Print_Titles" localSheetId="2">'2 Contexts'!$1:$6</definedName>
    <definedName name="_xlnm.Print_Titles" localSheetId="3">'3 Contracts'!$1:$6</definedName>
    <definedName name="_xlnm.Print_Titles" localSheetId="4">'4 Results'!$1:$6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4" l="1"/>
  <c r="A20" i="4"/>
  <c r="A17" i="4"/>
  <c r="A14" i="4"/>
  <c r="B13" i="4" a="1"/>
  <c r="A11" i="4"/>
  <c r="A8" i="4"/>
  <c r="B7" i="4" a="1"/>
  <c r="B10" i="4" s="1" a="1"/>
  <c r="A20" i="3"/>
  <c r="B19" i="3" a="1"/>
  <c r="A8" i="3"/>
  <c r="B7" i="3" a="1"/>
  <c r="E9" i="5" l="1"/>
  <c r="E8" i="5"/>
  <c r="E7" i="5"/>
  <c r="B24" i="3" a="1"/>
  <c r="B19" i="4" a="1"/>
  <c r="B23" i="4" s="1"/>
  <c r="A161" i="5" a="1"/>
  <c r="A13" i="5" a="1"/>
  <c r="B8" i="5" a="1"/>
  <c r="B7" i="5" a="1"/>
  <c r="B16" i="4" a="1"/>
  <c r="B22" i="4" s="1"/>
  <c r="B25" i="4" s="1" a="1"/>
  <c r="G7" i="5" s="1" a="1"/>
  <c r="B13" i="3" a="1"/>
  <c r="B12" i="3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sz val="8"/>
            <color indexed="81"/>
            <rFont val="Tahoma"/>
            <family val="2"/>
          </rPr>
          <t>ISO market business date</t>
        </r>
      </text>
    </comment>
    <comment ref="B8" authorId="0" shapeId="0" xr:uid="{00000000-0006-0000-0100-000002000000}">
      <text>
        <r>
          <rPr>
            <sz val="8"/>
            <color indexed="81"/>
            <rFont val="Tahoma"/>
            <family val="2"/>
          </rPr>
          <t>A second complete historical market</t>
        </r>
      </text>
    </comment>
    <comment ref="B9" authorId="0" shapeId="0" xr:uid="{00000000-0006-0000-0100-000003000000}">
      <text>
        <r>
          <rPr>
            <sz val="8"/>
            <color indexed="81"/>
            <rFont val="Tahoma"/>
            <family val="2"/>
          </rPr>
          <t>Contractual final repayment date</t>
        </r>
      </text>
    </comment>
    <comment ref="B10" authorId="0" shapeId="0" xr:uid="{00000000-0006-0000-0100-000004000000}">
      <text>
        <r>
          <rPr>
            <sz val="8"/>
            <color indexed="81"/>
            <rFont val="Tahoma"/>
            <family val="2"/>
          </rPr>
          <t>EUR principal</t>
        </r>
      </text>
    </comment>
    <comment ref="B11" authorId="0" shapeId="0" xr:uid="{00000000-0006-0000-0100-000005000000}">
      <text>
        <r>
          <rPr>
            <sz val="8"/>
            <color indexed="81"/>
            <rFont val="Tahoma"/>
            <family val="2"/>
          </rPr>
          <t>Annual decimal coupon</t>
        </r>
      </text>
    </comment>
    <comment ref="B12" authorId="0" shapeId="0" xr:uid="{00000000-0006-0000-0100-000006000000}">
      <text>
        <r>
          <rPr>
            <sz val="8"/>
            <color indexed="81"/>
            <rFont val="Tahoma"/>
            <family val="2"/>
          </rPr>
          <t>Residual fraction repaid at maturity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sz val="8"/>
            <color indexed="81"/>
            <rFont val="Tahoma"/>
            <family val="2"/>
          </rPr>
          <t>Date, currency, base index and optional quote side.</t>
        </r>
      </text>
    </comment>
    <comment ref="B19" authorId="0" shapeId="0" xr:uid="{00000000-0006-0000-0200-000002000000}">
      <text>
        <r>
          <rPr>
            <sz val="8"/>
            <color indexed="81"/>
            <rFont val="Tahoma"/>
            <family val="2"/>
          </rPr>
          <t>Each market carries its own actual valuation date.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300-000001000000}">
      <text>
        <r>
          <rPr>
            <sz val="8"/>
            <color indexed="81"/>
            <rFont val="Tahoma"/>
            <family val="2"/>
          </rPr>
          <t>The second argument is balloon_fraction; remaining settings use defaults.</t>
        </r>
      </text>
    </comment>
    <comment ref="B10" authorId="0" shapeId="0" xr:uid="{00000000-0006-0000-0300-000002000000}">
      <text>
        <r>
          <rPr>
            <sz val="8"/>
            <color indexed="81"/>
            <rFont val="Tahoma"/>
            <family val="2"/>
          </rPr>
          <t>Direct pricing uses Receive and the contract notional; use a trade for other position terms.</t>
        </r>
      </text>
    </comment>
    <comment ref="B13" authorId="0" shapeId="0" xr:uid="{00000000-0006-0000-0300-000003000000}">
      <text>
        <r>
          <rPr>
            <sz val="8"/>
            <color indexed="81"/>
            <rFont val="Tahoma"/>
            <family val="2"/>
          </rPr>
          <t>An explicit discount curve with optional named refinancing and fair-rate settings.</t>
        </r>
      </text>
    </comment>
    <comment ref="B16" authorId="0" shapeId="0" xr:uid="{00000000-0006-0000-0300-000004000000}">
      <text>
        <r>
          <rPr>
            <sz val="8"/>
            <color indexed="81"/>
            <rFont val="Tahoma"/>
            <family val="2"/>
          </rPr>
          <t>Complete context includes quotes and construction settings.</t>
        </r>
      </text>
    </comment>
    <comment ref="B19" authorId="0" shapeId="0" xr:uid="{00000000-0006-0000-0300-000005000000}">
      <text>
        <r>
          <rPr>
            <sz val="8"/>
            <color indexed="81"/>
            <rFont val="Tahoma"/>
            <family val="2"/>
          </rPr>
          <t>Next complete dated context.</t>
        </r>
      </text>
    </comment>
    <comment ref="B25" authorId="0" shapeId="0" xr:uid="{00000000-0006-0000-0300-000006000000}">
      <text>
        <r>
          <rPr>
            <sz val="8"/>
            <color indexed="81"/>
            <rFont val="Tahoma"/>
            <family val="2"/>
          </rPr>
          <t>Independent prepared-context and timestamp arrays.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<sst xmlns="http://schemas.openxmlformats.org/spreadsheetml/2006/main" count="120" uniqueCount="112">
  <si>
    <t>Context-first pricing</t>
  </si>
  <si>
    <t>Create one context, add independent inputs, and request values directly.</t>
  </si>
  <si>
    <t>Before you start: load quantsupport.xll in 64-bit Windows Excel, then press Ctrl+Alt+F9. Results are blank until Excel calculates. Dates are ISO text; enter 4% as 0.04.</t>
  </si>
  <si>
    <t>Follow the numbered tabs from left to right</t>
  </si>
  <si>
    <t>1</t>
  </si>
  <si>
    <t>1 Inputs</t>
  </si>
  <si>
    <t>Edit the dated market quotes and loan contract terms.</t>
  </si>
  <si>
    <t>2</t>
  </si>
  <si>
    <t>2 Contexts</t>
  </si>
  <si>
    <t>All additions reference their root context; the input ranges are complete.</t>
  </si>
  <si>
    <t>3</t>
  </si>
  <si>
    <t>3 Contracts</t>
  </si>
  <si>
    <t>Create the loan and archive complete dated markets.</t>
  </si>
  <si>
    <t>4</t>
  </si>
  <si>
    <t>4 Results</t>
  </si>
  <si>
    <t>Read direct values, cashflows, risk and historical batch values.</t>
  </si>
  <si>
    <t>Cell colours</t>
  </si>
  <si>
    <t>Blue · edit</t>
  </si>
  <si>
    <t>Assumptions and choices you can change.</t>
  </si>
  <si>
    <t>Green · read</t>
  </si>
  <si>
    <t>Financial results calculated by the add-in.</t>
  </si>
  <si>
    <t>Grey · build</t>
  </si>
  <si>
    <t>Object references on the Build tab. Each step shows its Excel formula below.</t>
  </si>
  <si>
    <t>Try this first</t>
  </si>
  <si>
    <t>1. Change a quote and inspect PV and risk.</t>
  </si>
  <si>
    <t>2. Change the balloon fraction through named loan settings.</t>
  </si>
  <si>
    <t>3. Reorder the historical rows; output order follows the instruments and timestamps.</t>
  </si>
  <si>
    <t>Use Ctrl+A after a function name for parameter help. Inline hints use the optional Excel-DNA IntelliSense companion. The example assumptions are illustrative; tables and results use the native Rust pricers.</t>
  </si>
  <si>
    <t>Contract and position inputs</t>
  </si>
  <si>
    <t>Blue inputs feed context, curve and loan formulas directly.</t>
  </si>
  <si>
    <t>← Start Here</t>
  </si>
  <si>
    <t>Next → 2 Contexts</t>
  </si>
  <si>
    <t>Parameter</t>
  </si>
  <si>
    <t>Value</t>
  </si>
  <si>
    <t>Meaning</t>
  </si>
  <si>
    <t>Market date</t>
  </si>
  <si>
    <t>2026-02-24</t>
  </si>
  <si>
    <t>ISO market business date</t>
  </si>
  <si>
    <t>Next market date</t>
  </si>
  <si>
    <t>2026-02-25</t>
  </si>
  <si>
    <t>A second complete historical market</t>
  </si>
  <si>
    <t>Maturity</t>
  </si>
  <si>
    <t>2031-02-24</t>
  </si>
  <si>
    <t>Contractual final repayment date</t>
  </si>
  <si>
    <t>Notional</t>
  </si>
  <si>
    <t>EUR principal</t>
  </si>
  <si>
    <t>Fixed coupon</t>
  </si>
  <si>
    <t>Annual decimal coupon</t>
  </si>
  <si>
    <t>Balloon fraction</t>
  </si>
  <si>
    <t>Residual fraction repaid at maturity</t>
  </si>
  <si>
    <t>Identifier</t>
  </si>
  <si>
    <t>Mid levels: independent row array</t>
  </si>
  <si>
    <t>FixedRateDeposit_EUR_ESTR_1D</t>
  </si>
  <si>
    <t>OIS_EUR_ESTR_3M</t>
  </si>
  <si>
    <t>OIS_EUR_ESTR_6M</t>
  </si>
  <si>
    <t>OIS_EUR_ESTR_1Y</t>
  </si>
  <si>
    <t>OIS_EUR_ESTR_2Y</t>
  </si>
  <si>
    <t>OIS_EUR_ESTR_3Y</t>
  </si>
  <si>
    <t>OIS_EUR_ESTR_4Y</t>
  </si>
  <si>
    <t>OIS_EUR_ESTR_5Y</t>
  </si>
  <si>
    <t>OIS_EUR_ESTR_7Y</t>
  </si>
  <si>
    <t>OIS_EUR_ESTR_10Y</t>
  </si>
  <si>
    <t>OIS_EUR_ESTR_15Y</t>
  </si>
  <si>
    <t>OIS_EUR_ESTR_20Y</t>
  </si>
  <si>
    <t>OIS_EUR_ESTR_30Y</t>
  </si>
  <si>
    <t>Create contexts and independent inputs</t>
  </si>
  <si>
    <t>Every ADD formula points to its root. Pricing and snapshot formulas consume the context-owned market definitions.</t>
  </si>
  <si>
    <t>Next → 3 Contracts</t>
  </si>
  <si>
    <t>Step</t>
  </si>
  <si>
    <t>Reference</t>
  </si>
  <si>
    <t>Purpose</t>
  </si>
  <si>
    <t>Create root</t>
  </si>
  <si>
    <t>Date, currency, base index and optional quote side.</t>
  </si>
  <si>
    <t>Independent quote arrays</t>
  </si>
  <si>
    <t>Curve from matching quotes</t>
  </si>
  <si>
    <t>Inputs is B12:B13. Both formulas use Root; neither references the previous addition. You may instead use ADD.CURVE(root,index,identifiers,mid) in one cell.</t>
  </si>
  <si>
    <t>Second dated root</t>
  </si>
  <si>
    <t>Each market carries its own actual valuation date.</t>
  </si>
  <si>
    <t>Curve and quotes together</t>
  </si>
  <si>
    <t>Loan contract and historical market archive</t>
  </si>
  <si>
    <t>Loan settings have named arguments in IntelliSense. Snapshots include the complete context input range.</t>
  </si>
  <si>
    <t>Next → 4 Results</t>
  </si>
  <si>
    <t>Named loan settings</t>
  </si>
  <si>
    <t>The second argument is balloon_fraction; remaining settings use defaults.</t>
  </si>
  <si>
    <t>Loan contract</t>
  </si>
  <si>
    <t>Direct pricing uses Receive and the contract notional; use a trade for other position terms.</t>
  </si>
  <si>
    <t>Explicit loan pricer</t>
  </si>
  <si>
    <t>An explicit discount curve with optional named refinancing and fair-rate settings.</t>
  </si>
  <si>
    <t>Prepare first market</t>
  </si>
  <si>
    <t>Complete context includes quotes and construction settings.</t>
  </si>
  <si>
    <t>Prepare next market</t>
  </si>
  <si>
    <t>Next complete dated context.</t>
  </si>
  <si>
    <t>First context</t>
  </si>
  <si>
    <t>Second context</t>
  </si>
  <si>
    <t>2026-02-24T16:00:00Z</t>
  </si>
  <si>
    <t>2026-02-25T16:00:00Z</t>
  </si>
  <si>
    <t>Archive complete markets</t>
  </si>
  <si>
    <t>Independent prepared-context and timestamp arrays.</t>
  </si>
  <si>
    <t>Direct prices and historical batch</t>
  </si>
  <si>
    <t>No evaluation handle is needed. The context-owned market definitions gives Excel the calculation dependencies.</t>
  </si>
  <si>
    <t>Measure</t>
  </si>
  <si>
    <t>Receipt PV (EUR)</t>
  </si>
  <si>
    <t>Native loan pricer using the context base discount curve.</t>
  </si>
  <si>
    <t>Fair coupon</t>
  </si>
  <si>
    <t>Cashflows</t>
  </si>
  <si>
    <t>Sensitivities</t>
  </si>
  <si>
    <t>Instrument</t>
  </si>
  <si>
    <t>Origination timestamp</t>
  </si>
  <si>
    <t>Receipt PV</t>
  </si>
  <si>
    <t>2026-02-25T17:00:00Z</t>
  </si>
  <si>
    <t>2026-02-24T17:00:00Z</t>
  </si>
  <si>
    <t>2026-02-25T18:00:00Z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</si>
</sst>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(#,##0.00\)"/>
    <numFmt numFmtId="165" formatCode="0.0000%"/>
  </numFmts>
  <fonts count="12" x14ac:knownFonts="1">
    <font>
      <sz val="11"/>
      <color theme="1"/>
      <name val="Calibri"/>
      <family val="2"/>
      <scheme val="minor"/>
    </font>
    <font>
      <sz val="11"/>
      <color rgb="FF273B4A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526779"/>
      <name val="Calibri"/>
      <family val="2"/>
      <scheme val="minor"/>
    </font>
    <font>
      <b/>
      <sz val="12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26B9A"/>
      <name val="Calibri"/>
      <family val="2"/>
      <scheme val="minor"/>
    </font>
    <font>
      <sz val="10"/>
      <color rgb="FF526779"/>
      <name val="Calibri"/>
      <family val="2"/>
      <scheme val="minor"/>
    </font>
    <font>
      <sz val="11"/>
      <color rgb="FF174EA6"/>
      <name val="Calibri"/>
      <family val="2"/>
      <scheme val="minor"/>
    </font>
    <font>
      <sz val="11"/>
      <color rgb="FF145C43"/>
      <name val="Calibri"/>
      <family val="2"/>
      <scheme val="minor"/>
    </font>
    <font>
      <sz val="9"/>
      <color rgb="FF526779"/>
      <name val="Consolas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5EDF2"/>
        <bgColor indexed="64"/>
      </patternFill>
    </fill>
    <fill>
      <patternFill patternType="solid">
        <fgColor rgb="FF176B75"/>
        <bgColor indexed="64"/>
      </patternFill>
    </fill>
    <fill>
      <patternFill patternType="solid">
        <fgColor rgb="FFE8F1FC"/>
        <bgColor indexed="64"/>
      </patternFill>
    </fill>
    <fill>
      <patternFill patternType="solid">
        <fgColor rgb="FFEAF5EF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F7F9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BDBEE"/>
      </left>
      <right style="thin">
        <color rgb="FFCBDBEE"/>
      </right>
      <top style="thin">
        <color rgb="FFCBDBEE"/>
      </top>
      <bottom style="thin">
        <color rgb="FFCBDB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4" fontId="8" fillId="5" borderId="2" xfId="0" applyNumberFormat="1" applyFont="1" applyFill="1" applyBorder="1" applyAlignment="1">
      <alignment vertical="center" wrapText="1"/>
    </xf>
    <xf numFmtId="10" fontId="8" fillId="5" borderId="2" xfId="0" applyNumberFormat="1" applyFont="1" applyFill="1" applyBorder="1" applyAlignment="1">
      <alignment vertical="center" wrapText="1"/>
    </xf>
    <xf numFmtId="164" fontId="9" fillId="6" borderId="0" xfId="0" applyNumberFormat="1" applyFont="1" applyFill="1" applyAlignment="1">
      <alignment vertical="center" wrapText="1"/>
    </xf>
    <xf numFmtId="165" fontId="9" fillId="6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10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87f00399922c423e8c0f6961c9821f53">
      <tp>
        <v>3</v>
        <stp/>
        <stp>f68f2da4-ed0a-462c-88b2-1776e8c98b9e</stp>
        <tr r="A13" s="5"/>
      </tp>
      <tp>
        <v>3</v>
        <stp/>
        <stp>4fe99f79-c405-44c7-93d7-bca0f7f7e44c</stp>
        <tr r="B25" s="4"/>
      </tp>
      <tp>
        <v>3</v>
        <stp/>
        <stp>a2403209-eda6-405a-85ab-52d698b5abe5</stp>
        <tr r="B7" s="5"/>
      </tp>
      <tp>
        <v>3</v>
        <stp/>
        <stp>136f73cb-ed70-4d2a-a851-3c2a98b60cf8</stp>
        <tr r="A161" s="5"/>
      </tp>
      <tp>
        <v>3</v>
        <stp/>
        <stp>aa4b28a6-b8bc-4a9b-8b70-12be09b43d19</stp>
        <tr r="B8" s="5"/>
      </tp>
      <tp>
        <v>3</v>
        <stp/>
        <stp>4976d9b8-3b96-48d4-a52a-8a7c4f1ac39e</stp>
        <tr r="G7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showGridLines="0" zoomScale="90" zoomScaleNormal="90" workbookViewId="0">
      <pane ySplit="9" topLeftCell="A10" activePane="bottomLeft" state="frozen"/>
      <selection pane="bottomLeft" sqref="A1:F2"/>
    </sheetView>
  </sheetViews>
  <sheetFormatPr baseColWidth="10" defaultColWidth="9.140625" defaultRowHeight="26.1" customHeight="1" x14ac:dyDescent="0.25"/>
  <cols>
    <col min="1" max="1" width="8.7109375" style="1" customWidth="1"/>
    <col min="2" max="2" width="22.7109375" style="1" customWidth="1"/>
    <col min="3" max="3" width="17.7109375" style="1" customWidth="1"/>
    <col min="4" max="5" width="22.7109375" style="1" customWidth="1"/>
    <col min="6" max="6" width="18.7109375" style="1" customWidth="1"/>
  </cols>
  <sheetData>
    <row r="1" spans="1:6" ht="30" customHeight="1" x14ac:dyDescent="0.25">
      <c r="A1" s="13" t="s">
        <v>0</v>
      </c>
      <c r="B1" s="13"/>
      <c r="C1" s="13"/>
      <c r="D1" s="13"/>
      <c r="E1" s="13"/>
      <c r="F1" s="13"/>
    </row>
    <row r="2" spans="1:6" ht="30" customHeight="1" x14ac:dyDescent="0.25">
      <c r="A2" s="13"/>
      <c r="B2" s="13"/>
      <c r="C2" s="13"/>
      <c r="D2" s="13"/>
      <c r="E2" s="13"/>
      <c r="F2" s="13"/>
    </row>
    <row r="3" spans="1:6" ht="26.1" customHeight="1" x14ac:dyDescent="0.25">
      <c r="A3" s="14" t="s">
        <v>1</v>
      </c>
      <c r="B3" s="14"/>
      <c r="C3" s="14"/>
      <c r="D3" s="14"/>
      <c r="E3" s="14"/>
      <c r="F3" s="14"/>
    </row>
    <row r="4" spans="1:6" ht="26.1" customHeight="1" x14ac:dyDescent="0.25">
      <c r="A4" s="14"/>
      <c r="B4" s="14"/>
      <c r="C4" s="14"/>
      <c r="D4" s="14"/>
      <c r="E4" s="14"/>
      <c r="F4" s="14"/>
    </row>
    <row r="6" spans="1:6" ht="26.1" customHeight="1" x14ac:dyDescent="0.25">
      <c r="A6" s="15" t="s">
        <v>2</v>
      </c>
      <c r="B6" s="15"/>
      <c r="C6" s="15"/>
      <c r="D6" s="15"/>
      <c r="E6" s="15"/>
      <c r="F6" s="15"/>
    </row>
    <row r="7" spans="1:6" ht="26.1" customHeight="1" x14ac:dyDescent="0.25">
      <c r="A7" s="15"/>
      <c r="B7" s="15"/>
      <c r="C7" s="15"/>
      <c r="D7" s="15"/>
      <c r="E7" s="15"/>
      <c r="F7" s="15"/>
    </row>
    <row r="9" spans="1:6" ht="26.1" customHeight="1" x14ac:dyDescent="0.25">
      <c r="A9" s="16" t="s">
        <v>3</v>
      </c>
      <c r="B9" s="16"/>
      <c r="C9" s="16"/>
      <c r="D9" s="16"/>
      <c r="E9" s="16"/>
      <c r="F9" s="16"/>
    </row>
    <row r="10" spans="1:6" ht="33.950000000000003" customHeight="1" x14ac:dyDescent="0.25">
      <c r="A10" s="2" t="s">
        <v>4</v>
      </c>
      <c r="B10" s="17" t="s">
        <v>5</v>
      </c>
      <c r="C10" s="18"/>
      <c r="D10" s="19" t="s">
        <v>6</v>
      </c>
      <c r="E10" s="19"/>
      <c r="F10" s="19"/>
    </row>
    <row r="11" spans="1:6" ht="33.950000000000003" customHeight="1" x14ac:dyDescent="0.25">
      <c r="A11" s="2" t="s">
        <v>7</v>
      </c>
      <c r="B11" s="17" t="s">
        <v>8</v>
      </c>
      <c r="C11" s="18"/>
      <c r="D11" s="19" t="s">
        <v>9</v>
      </c>
      <c r="E11" s="19"/>
      <c r="F11" s="19"/>
    </row>
    <row r="12" spans="1:6" ht="33.950000000000003" customHeight="1" x14ac:dyDescent="0.25">
      <c r="A12" s="2" t="s">
        <v>10</v>
      </c>
      <c r="B12" s="17" t="s">
        <v>11</v>
      </c>
      <c r="C12" s="18"/>
      <c r="D12" s="19" t="s">
        <v>12</v>
      </c>
      <c r="E12" s="19"/>
      <c r="F12" s="19"/>
    </row>
    <row r="13" spans="1:6" ht="33.950000000000003" customHeight="1" x14ac:dyDescent="0.25">
      <c r="A13" s="2" t="s">
        <v>13</v>
      </c>
      <c r="B13" s="17" t="s">
        <v>14</v>
      </c>
      <c r="C13" s="18"/>
      <c r="D13" s="19" t="s">
        <v>15</v>
      </c>
      <c r="E13" s="19"/>
      <c r="F13" s="19"/>
    </row>
    <row r="16" spans="1:6" ht="26.1" customHeight="1" x14ac:dyDescent="0.25">
      <c r="A16" s="16" t="s">
        <v>16</v>
      </c>
      <c r="B16" s="16"/>
      <c r="C16" s="16"/>
      <c r="D16" s="16"/>
      <c r="E16" s="16"/>
      <c r="F16" s="16"/>
    </row>
    <row r="17" spans="1:6" ht="30" customHeight="1" x14ac:dyDescent="0.25">
      <c r="A17" s="20" t="s">
        <v>17</v>
      </c>
      <c r="B17" s="20"/>
      <c r="C17" s="20"/>
      <c r="D17" s="19" t="s">
        <v>18</v>
      </c>
      <c r="E17" s="19"/>
      <c r="F17" s="19"/>
    </row>
    <row r="18" spans="1:6" ht="30" customHeight="1" x14ac:dyDescent="0.25">
      <c r="A18" s="21" t="s">
        <v>19</v>
      </c>
      <c r="B18" s="21"/>
      <c r="C18" s="21"/>
      <c r="D18" s="19" t="s">
        <v>20</v>
      </c>
      <c r="E18" s="19"/>
      <c r="F18" s="19"/>
    </row>
    <row r="19" spans="1:6" ht="30" customHeight="1" x14ac:dyDescent="0.25">
      <c r="A19" s="22" t="s">
        <v>21</v>
      </c>
      <c r="B19" s="22"/>
      <c r="C19" s="22"/>
      <c r="D19" s="19" t="s">
        <v>22</v>
      </c>
      <c r="E19" s="19"/>
      <c r="F19" s="19"/>
    </row>
    <row r="21" spans="1:6" ht="26.1" customHeight="1" x14ac:dyDescent="0.25">
      <c r="A21" s="16" t="s">
        <v>23</v>
      </c>
      <c r="B21" s="16"/>
      <c r="C21" s="16"/>
      <c r="D21" s="16"/>
      <c r="E21" s="16"/>
      <c r="F21" s="16"/>
    </row>
    <row r="22" spans="1:6" ht="33.950000000000003" customHeight="1" x14ac:dyDescent="0.25">
      <c r="A22" s="19" t="s">
        <v>24</v>
      </c>
      <c r="B22" s="19"/>
      <c r="C22" s="19"/>
      <c r="D22" s="19"/>
      <c r="E22" s="19"/>
      <c r="F22" s="19"/>
    </row>
    <row r="23" spans="1:6" ht="33.950000000000003" customHeight="1" x14ac:dyDescent="0.25">
      <c r="A23" s="19" t="s">
        <v>25</v>
      </c>
      <c r="B23" s="19"/>
      <c r="C23" s="19"/>
      <c r="D23" s="19"/>
      <c r="E23" s="19"/>
      <c r="F23" s="19"/>
    </row>
    <row r="24" spans="1:6" ht="33.950000000000003" customHeight="1" x14ac:dyDescent="0.25">
      <c r="A24" s="19" t="s">
        <v>26</v>
      </c>
      <c r="B24" s="19"/>
      <c r="C24" s="19"/>
      <c r="D24" s="19"/>
      <c r="E24" s="19"/>
      <c r="F24" s="19"/>
    </row>
    <row r="26" spans="1:6" ht="26.1" customHeight="1" x14ac:dyDescent="0.25">
      <c r="A26" s="18" t="s">
        <v>27</v>
      </c>
      <c r="B26" s="18"/>
      <c r="C26" s="18"/>
      <c r="D26" s="18"/>
      <c r="E26" s="18"/>
      <c r="F26" s="18"/>
    </row>
    <row r="27" spans="1:6" ht="26.1" customHeight="1" x14ac:dyDescent="0.25">
      <c r="A27" s="18"/>
      <c r="B27" s="18"/>
      <c r="C27" s="18"/>
      <c r="D27" s="18"/>
      <c r="E27" s="18"/>
      <c r="F27" s="18"/>
    </row>
  </sheetData>
  <mergeCells count="24">
    <mergeCell ref="A24:F24"/>
    <mergeCell ref="A26:F27"/>
    <mergeCell ref="A19:C19"/>
    <mergeCell ref="D19:F19"/>
    <mergeCell ref="A21:F21"/>
    <mergeCell ref="A22:F22"/>
    <mergeCell ref="A23:F23"/>
    <mergeCell ref="A16:F16"/>
    <mergeCell ref="A17:C17"/>
    <mergeCell ref="D17:F17"/>
    <mergeCell ref="A18:C18"/>
    <mergeCell ref="D18:F18"/>
    <mergeCell ref="B11:C11"/>
    <mergeCell ref="D11:F11"/>
    <mergeCell ref="B12:C12"/>
    <mergeCell ref="D12:F12"/>
    <mergeCell ref="B13:C13"/>
    <mergeCell ref="D13:F13"/>
    <mergeCell ref="A1:F2"/>
    <mergeCell ref="A3:F4"/>
    <mergeCell ref="A6:F7"/>
    <mergeCell ref="A9:F9"/>
    <mergeCell ref="B10:C10"/>
    <mergeCell ref="D10:F10"/>
  </mergeCells>
  <hyperlinks>
    <hyperlink ref="B10" location="'1 Inputs'!A1" display="1 Inputs" xr:uid="{00000000-0004-0000-0000-000000000000}"/>
    <hyperlink ref="B11" location="'2 Contexts'!A1" display="2 Contexts" xr:uid="{00000000-0004-0000-0000-000001000000}"/>
    <hyperlink ref="B12" location="'3 Contracts'!A1" display="3 Contracts" xr:uid="{00000000-0004-0000-0000-000002000000}"/>
    <hyperlink ref="B13" location="'4 Results'!A1" display="4 Results" xr:uid="{00000000-0004-0000-0000-000003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7AB7"/>
    <pageSetUpPr fitToPage="1"/>
  </sheetPr>
  <dimension ref="A1:P30"/>
  <sheetViews>
    <sheetView showGridLines="0" zoomScale="85" zoomScaleNormal="85" workbookViewId="0">
      <pane xSplit="1" ySplit="6" topLeftCell="B11" activePane="bottomRight" state="frozen"/>
      <selection pane="topRight" activeCell="B1" sqref="B1"/>
      <selection pane="bottomLeft" activeCell="A7" sqref="A7"/>
      <selection pane="bottomRight" activeCell="C17" sqref="C17"/>
    </sheetView>
  </sheetViews>
  <sheetFormatPr baseColWidth="10" defaultColWidth="9.140625" defaultRowHeight="24" customHeight="1" x14ac:dyDescent="0.25"/>
  <cols>
    <col min="1" max="1" width="34.7109375" style="1" customWidth="1"/>
    <col min="2" max="2" width="26.7109375" style="1" customWidth="1"/>
    <col min="3" max="3" width="62.7109375" style="1" customWidth="1"/>
    <col min="4" max="16" width="12.7109375" customWidth="1"/>
  </cols>
  <sheetData>
    <row r="1" spans="1:16" ht="38.1" customHeight="1" x14ac:dyDescent="0.25">
      <c r="A1" s="13" t="s">
        <v>28</v>
      </c>
      <c r="B1" s="13"/>
      <c r="C1" s="13"/>
    </row>
    <row r="2" spans="1:16" ht="24" customHeight="1" x14ac:dyDescent="0.25">
      <c r="A2" s="14" t="s">
        <v>29</v>
      </c>
      <c r="B2" s="14"/>
      <c r="C2" s="14"/>
    </row>
    <row r="3" spans="1:16" ht="24" customHeight="1" x14ac:dyDescent="0.25">
      <c r="A3" s="14"/>
      <c r="B3" s="14"/>
      <c r="C3" s="14"/>
    </row>
    <row r="4" spans="1:16" ht="36" customHeight="1" x14ac:dyDescent="0.25">
      <c r="A4" s="4" t="s">
        <v>30</v>
      </c>
      <c r="C4" s="4" t="s">
        <v>31</v>
      </c>
    </row>
    <row r="6" spans="1:16" ht="36" customHeight="1" x14ac:dyDescent="0.25">
      <c r="A6" s="3" t="s">
        <v>32</v>
      </c>
      <c r="B6" s="3" t="s">
        <v>33</v>
      </c>
      <c r="C6" s="3" t="s">
        <v>34</v>
      </c>
    </row>
    <row r="7" spans="1:16" ht="32.1" customHeight="1" x14ac:dyDescent="0.25">
      <c r="A7" s="1" t="s">
        <v>35</v>
      </c>
      <c r="B7" s="6" t="s">
        <v>36</v>
      </c>
      <c r="C7" s="5" t="s">
        <v>37</v>
      </c>
    </row>
    <row r="8" spans="1:16" ht="32.1" customHeight="1" x14ac:dyDescent="0.25">
      <c r="A8" s="1" t="s">
        <v>38</v>
      </c>
      <c r="B8" s="6" t="s">
        <v>39</v>
      </c>
      <c r="C8" s="5" t="s">
        <v>40</v>
      </c>
    </row>
    <row r="9" spans="1:16" ht="32.1" customHeight="1" x14ac:dyDescent="0.25">
      <c r="A9" s="1" t="s">
        <v>41</v>
      </c>
      <c r="B9" s="6" t="s">
        <v>42</v>
      </c>
      <c r="C9" s="5" t="s">
        <v>43</v>
      </c>
    </row>
    <row r="10" spans="1:16" ht="32.1" customHeight="1" x14ac:dyDescent="0.25">
      <c r="A10" s="1" t="s">
        <v>44</v>
      </c>
      <c r="B10" s="9">
        <v>10000</v>
      </c>
      <c r="C10" s="5" t="s">
        <v>45</v>
      </c>
    </row>
    <row r="11" spans="1:16" ht="32.1" customHeight="1" x14ac:dyDescent="0.25">
      <c r="A11" s="1" t="s">
        <v>46</v>
      </c>
      <c r="B11" s="10">
        <v>0.05</v>
      </c>
      <c r="C11" s="5" t="s">
        <v>47</v>
      </c>
    </row>
    <row r="12" spans="1:16" ht="32.1" customHeight="1" x14ac:dyDescent="0.25">
      <c r="A12" s="1" t="s">
        <v>48</v>
      </c>
      <c r="B12" s="10">
        <v>0.25</v>
      </c>
      <c r="C12" s="5" t="s">
        <v>49</v>
      </c>
    </row>
    <row r="16" spans="1:16" ht="24" customHeight="1" x14ac:dyDescent="0.25">
      <c r="D16" s="16" t="s">
        <v>51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 ht="36" customHeight="1" x14ac:dyDescent="0.25">
      <c r="A17" s="3" t="s">
        <v>50</v>
      </c>
      <c r="B17" s="3"/>
      <c r="C17" s="3"/>
      <c r="D17" s="10">
        <v>2.9000000000000001E-2</v>
      </c>
      <c r="E17" s="10">
        <v>2.8799999999999999E-2</v>
      </c>
      <c r="F17" s="10">
        <v>2.8000000000000001E-2</v>
      </c>
      <c r="G17" s="10">
        <v>2.6499999999999999E-2</v>
      </c>
      <c r="H17" s="10">
        <v>2.5000000000000001E-2</v>
      </c>
      <c r="I17" s="10">
        <v>2.4500000000000001E-2</v>
      </c>
      <c r="J17" s="10">
        <v>2.4299999999999999E-2</v>
      </c>
      <c r="K17" s="10">
        <v>2.4199999999999999E-2</v>
      </c>
      <c r="L17" s="10">
        <v>2.4500000000000001E-2</v>
      </c>
      <c r="M17" s="10">
        <v>2.52E-2</v>
      </c>
      <c r="N17" s="10">
        <v>2.58E-2</v>
      </c>
      <c r="O17" s="10">
        <v>2.5499999999999998E-2</v>
      </c>
      <c r="P17" s="10">
        <v>2.4E-2</v>
      </c>
    </row>
    <row r="18" spans="1:16" ht="24" customHeight="1" x14ac:dyDescent="0.25">
      <c r="A18" s="6" t="s">
        <v>52</v>
      </c>
    </row>
    <row r="19" spans="1:16" ht="24" customHeight="1" x14ac:dyDescent="0.25">
      <c r="A19" s="6" t="s">
        <v>53</v>
      </c>
    </row>
    <row r="20" spans="1:16" ht="24" customHeight="1" x14ac:dyDescent="0.25">
      <c r="A20" s="6" t="s">
        <v>54</v>
      </c>
    </row>
    <row r="21" spans="1:16" ht="24" customHeight="1" x14ac:dyDescent="0.25">
      <c r="A21" s="6" t="s">
        <v>55</v>
      </c>
    </row>
    <row r="22" spans="1:16" ht="24" customHeight="1" x14ac:dyDescent="0.25">
      <c r="A22" s="6" t="s">
        <v>56</v>
      </c>
    </row>
    <row r="23" spans="1:16" ht="24" customHeight="1" x14ac:dyDescent="0.25">
      <c r="A23" s="6" t="s">
        <v>57</v>
      </c>
    </row>
    <row r="24" spans="1:16" ht="24" customHeight="1" x14ac:dyDescent="0.25">
      <c r="A24" s="6" t="s">
        <v>58</v>
      </c>
    </row>
    <row r="25" spans="1:16" ht="24" customHeight="1" x14ac:dyDescent="0.25">
      <c r="A25" s="6" t="s">
        <v>59</v>
      </c>
    </row>
    <row r="26" spans="1:16" ht="24" customHeight="1" x14ac:dyDescent="0.25">
      <c r="A26" s="6" t="s">
        <v>60</v>
      </c>
    </row>
    <row r="27" spans="1:16" ht="24" customHeight="1" x14ac:dyDescent="0.25">
      <c r="A27" s="6" t="s">
        <v>61</v>
      </c>
    </row>
    <row r="28" spans="1:16" ht="24" customHeight="1" x14ac:dyDescent="0.25">
      <c r="A28" s="6" t="s">
        <v>62</v>
      </c>
    </row>
    <row r="29" spans="1:16" ht="24" customHeight="1" x14ac:dyDescent="0.25">
      <c r="A29" s="6" t="s">
        <v>63</v>
      </c>
    </row>
    <row r="30" spans="1:16" ht="24" customHeight="1" x14ac:dyDescent="0.25">
      <c r="A30" s="6" t="s">
        <v>64</v>
      </c>
    </row>
  </sheetData>
  <mergeCells count="3">
    <mergeCell ref="A1:C1"/>
    <mergeCell ref="A2:C3"/>
    <mergeCell ref="D16:P16"/>
  </mergeCells>
  <hyperlinks>
    <hyperlink ref="A4" location="'Start Here'!A1" display="← Start Here" xr:uid="{00000000-0004-0000-0100-000000000000}"/>
    <hyperlink ref="C4" location="'2 Contexts'!A1" display="Next → 2 Contexts" xr:uid="{00000000-0004-0000-0100-000001000000}"/>
  </hyperlinks>
  <pageMargins left="0.3" right="0.3" top="0.4" bottom="0.4" header="0.3" footer="0.3"/>
  <pageSetup paperSize="9" fitToHeight="0" orientation="landscape"/>
  <headerFooter>
    <oddFooter>&amp;LQuantSupport&amp;CContract and position inputs&amp;R&amp;P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8909C"/>
    <pageSetUpPr fitToPage="1"/>
  </sheetPr>
  <dimension ref="A1:C24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24" sqref="B24"/>
    </sheetView>
  </sheetViews>
  <sheetFormatPr baseColWidth="10" defaultColWidth="9.140625" defaultRowHeight="24" customHeight="1" x14ac:dyDescent="0.25"/>
  <cols>
    <col min="1" max="1" width="34.7109375" style="1" customWidth="1"/>
    <col min="2" max="3" width="48.7109375" style="1" customWidth="1"/>
  </cols>
  <sheetData>
    <row r="1" spans="1:3" ht="38.1" customHeight="1" x14ac:dyDescent="0.25">
      <c r="A1" s="13" t="s">
        <v>65</v>
      </c>
      <c r="B1" s="13"/>
      <c r="C1" s="13"/>
    </row>
    <row r="2" spans="1:3" ht="24" customHeight="1" x14ac:dyDescent="0.25">
      <c r="A2" s="14" t="s">
        <v>66</v>
      </c>
      <c r="B2" s="14"/>
      <c r="C2" s="14"/>
    </row>
    <row r="3" spans="1:3" ht="24" customHeight="1" x14ac:dyDescent="0.25">
      <c r="A3" s="14"/>
      <c r="B3" s="14"/>
      <c r="C3" s="14"/>
    </row>
    <row r="4" spans="1:3" ht="36" customHeight="1" x14ac:dyDescent="0.25">
      <c r="A4" s="4" t="s">
        <v>30</v>
      </c>
      <c r="C4" s="4" t="s">
        <v>67</v>
      </c>
    </row>
    <row r="6" spans="1:3" ht="36" customHeight="1" x14ac:dyDescent="0.25">
      <c r="A6" s="3" t="s">
        <v>68</v>
      </c>
      <c r="B6" s="3" t="s">
        <v>69</v>
      </c>
      <c r="C6" s="3" t="s">
        <v>70</v>
      </c>
    </row>
    <row r="7" spans="1:3" ht="38.1" customHeight="1" x14ac:dyDescent="0.25">
      <c r="A7" s="2" t="s">
        <v>71</v>
      </c>
      <c r="B7" s="8" t="str" cm="1">
        <f t="array" ref="B7">_xll.QS.CONTEXT.CREATE("Example.Context",Context_Date,"EUR","ESTR")</f>
        <v>QSObject:PricingContext:w2~Example.Context:6</v>
      </c>
      <c r="C7" s="5" t="s">
        <v>72</v>
      </c>
    </row>
    <row r="8" spans="1:3" ht="33.950000000000003" customHeight="1" x14ac:dyDescent="0.25">
      <c r="A8" s="23" t="str">
        <f ca="1">SUBSTITUTE(_xlfn.FORMULATEXT(B7),",",", ")</f>
        <v>=QS.CONTEXT.CREATE("Example.Context";Context_Date;"EUR";"ESTR")</v>
      </c>
      <c r="B8" s="23"/>
      <c r="C8" s="23"/>
    </row>
    <row r="12" spans="1:3" ht="24" customHeight="1" x14ac:dyDescent="0.25">
      <c r="A12" s="1" t="s">
        <v>73</v>
      </c>
      <c r="B12" s="8" t="str" cm="1">
        <f t="array" ref="B12">_xll.QS.CONTEXT.ADD.QUOTES(Context_Root,Context_QuoteIds,Context_QuoteMid)</f>
        <v>QSObject:ContextInput:w2~input.qs_context_add_quotes.1674363715056.11.1.0:7</v>
      </c>
    </row>
    <row r="13" spans="1:3" ht="24" customHeight="1" x14ac:dyDescent="0.25">
      <c r="A13" s="1" t="s">
        <v>74</v>
      </c>
      <c r="B13" s="8" t="str" cm="1">
        <f t="array" ref="B13">_xll.QS.CONTEXT.ADD.CURVE(Context_Root,"ESTR")</f>
        <v>QSObject:ContextInput:w2~input.qs_context_add_curve.1674363715056.12.1.0:8</v>
      </c>
    </row>
    <row r="15" spans="1:3" ht="24" customHeight="1" x14ac:dyDescent="0.25">
      <c r="A15" s="18" t="s">
        <v>75</v>
      </c>
      <c r="B15" s="18"/>
      <c r="C15" s="18"/>
    </row>
    <row r="16" spans="1:3" ht="24" customHeight="1" x14ac:dyDescent="0.25">
      <c r="A16" s="18"/>
      <c r="B16" s="18"/>
      <c r="C16" s="18"/>
    </row>
    <row r="19" spans="1:3" ht="38.1" customHeight="1" x14ac:dyDescent="0.25">
      <c r="A19" s="2" t="s">
        <v>76</v>
      </c>
      <c r="B19" s="8" t="str" cm="1">
        <f t="array" ref="B19">_xll.QS.CONTEXT.CREATE("Example.Next",Context_NextDate,"EUR","ESTR")</f>
        <v>QSObject:PricingContext:w2~Example.Next:4</v>
      </c>
      <c r="C19" s="5" t="s">
        <v>77</v>
      </c>
    </row>
    <row r="20" spans="1:3" ht="33.950000000000003" customHeight="1" x14ac:dyDescent="0.25">
      <c r="A20" s="23" t="str">
        <f ca="1">SUBSTITUTE(_xlfn.FORMULATEXT(B19),",",", ")</f>
        <v>=QS.CONTEXT.CREATE("Example.Next";Context_NextDate;"EUR";"ESTR")</v>
      </c>
      <c r="B20" s="23"/>
      <c r="C20" s="23"/>
    </row>
    <row r="24" spans="1:3" ht="24" customHeight="1" x14ac:dyDescent="0.25">
      <c r="A24" s="1" t="s">
        <v>78</v>
      </c>
      <c r="B24" s="8" t="str" cm="1">
        <f t="array" ref="B24">_xll.QS.CONTEXT.ADD.CURVE(Context_NextRoot,"ESTR",Context_QuoteIds,Context_QuoteMid)</f>
        <v>QSObject:ContextInput:w2~input.qs_context_add_curve.1674363715056.23.1.0:5</v>
      </c>
    </row>
  </sheetData>
  <mergeCells count="5">
    <mergeCell ref="A1:C1"/>
    <mergeCell ref="A2:C3"/>
    <mergeCell ref="A8:C8"/>
    <mergeCell ref="A15:C16"/>
    <mergeCell ref="A20:C20"/>
  </mergeCells>
  <hyperlinks>
    <hyperlink ref="A4" location="'Start Here'!A1" display="← Start Here" xr:uid="{00000000-0004-0000-0200-000000000000}"/>
    <hyperlink ref="C4" location="'3 Contracts'!A1" display="Next → 3 Contracts" xr:uid="{00000000-0004-0000-0200-000001000000}"/>
  </hyperlinks>
  <pageMargins left="0.3" right="0.3" top="0.4" bottom="0.4" header="0.3" footer="0.3"/>
  <pageSetup paperSize="9" fitToHeight="0" orientation="landscape"/>
  <headerFooter>
    <oddFooter>&amp;LQuantSupport&amp;CCreate contexts and independent inputs&amp;R&amp;P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8909C"/>
    <pageSetUpPr fitToPage="1"/>
  </sheetPr>
  <dimension ref="A1:D26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C1"/>
    </sheetView>
  </sheetViews>
  <sheetFormatPr baseColWidth="10" defaultColWidth="9.140625" defaultRowHeight="24" customHeight="1" x14ac:dyDescent="0.25"/>
  <cols>
    <col min="1" max="1" width="34.7109375" style="1" customWidth="1"/>
    <col min="2" max="3" width="48.7109375" style="1" customWidth="1"/>
  </cols>
  <sheetData>
    <row r="1" spans="1:3" ht="38.1" customHeight="1" x14ac:dyDescent="0.25">
      <c r="A1" s="13" t="s">
        <v>79</v>
      </c>
      <c r="B1" s="13"/>
      <c r="C1" s="13"/>
    </row>
    <row r="2" spans="1:3" ht="24" customHeight="1" x14ac:dyDescent="0.25">
      <c r="A2" s="14" t="s">
        <v>80</v>
      </c>
      <c r="B2" s="14"/>
      <c r="C2" s="14"/>
    </row>
    <row r="3" spans="1:3" ht="24" customHeight="1" x14ac:dyDescent="0.25">
      <c r="A3" s="14"/>
      <c r="B3" s="14"/>
      <c r="C3" s="14"/>
    </row>
    <row r="4" spans="1:3" ht="36" customHeight="1" x14ac:dyDescent="0.25">
      <c r="A4" s="4" t="s">
        <v>30</v>
      </c>
      <c r="C4" s="4" t="s">
        <v>81</v>
      </c>
    </row>
    <row r="6" spans="1:3" ht="36" customHeight="1" x14ac:dyDescent="0.25">
      <c r="A6" s="3" t="s">
        <v>68</v>
      </c>
      <c r="B6" s="3" t="s">
        <v>69</v>
      </c>
      <c r="C6" s="3" t="s">
        <v>70</v>
      </c>
    </row>
    <row r="7" spans="1:3" ht="38.1" customHeight="1" x14ac:dyDescent="0.25">
      <c r="A7" s="2" t="s">
        <v>82</v>
      </c>
      <c r="B7" s="8" t="str" cm="1">
        <f t="array" ref="B7">_xll.QS.LOAN.SETTINGS("Example.Options",Context_Balloon)</f>
        <v>QSObject:LoanSettings:w2~Example.Options:2</v>
      </c>
      <c r="C7" s="5" t="s">
        <v>83</v>
      </c>
    </row>
    <row r="8" spans="1:3" ht="33.950000000000003" customHeight="1" x14ac:dyDescent="0.25">
      <c r="A8" s="23" t="str">
        <f ca="1">SUBSTITUTE(_xlfn.FORMULATEXT(B7),",",", ")</f>
        <v>=QS.LOAN.SETTINGS("Example.Options";Context_Balloon)</v>
      </c>
      <c r="B8" s="23"/>
      <c r="C8" s="23"/>
    </row>
    <row r="10" spans="1:3" ht="38.1" customHeight="1" x14ac:dyDescent="0.25">
      <c r="A10" s="2" t="s">
        <v>84</v>
      </c>
      <c r="B10" s="8" t="str" cm="1">
        <f t="array" ref="B10">_xll.QS.INSTRUMENT.LOAN("Example.Loan",Context_Date,Context_Maturity,"EUR",Context_Notional,Context_Rate,,"Balloon","Monthly","Actual365",Context_Options)</f>
        <v>QSObject:Loan:w2~Example.Loan:3</v>
      </c>
      <c r="C10" s="5" t="s">
        <v>85</v>
      </c>
    </row>
    <row r="11" spans="1:3" ht="33.950000000000003" customHeight="1" x14ac:dyDescent="0.25">
      <c r="A11" s="23" t="str">
        <f ca="1">SUBSTITUTE(_xlfn.FORMULATEXT(B10),",",", ")</f>
        <v>=QS.INSTRUMENT.LOAN("Example.Loan";Context_Date;Context_Maturity;"EUR";Context_Notional;Context_Rate;;"Balloon";"Monthly";"Actual365";Context_Options)</v>
      </c>
      <c r="B11" s="23"/>
      <c r="C11" s="23"/>
    </row>
    <row r="13" spans="1:3" ht="38.1" customHeight="1" x14ac:dyDescent="0.25">
      <c r="A13" s="2" t="s">
        <v>86</v>
      </c>
      <c r="B13" s="8" t="str" cm="1">
        <f t="array" ref="B13">_xll.QS.LOAN.PRICER("Example.Pricer","EUR","ESTR")</f>
        <v>QSObject:Pricer:w2~Example.Pricer:1</v>
      </c>
      <c r="C13" s="5" t="s">
        <v>87</v>
      </c>
    </row>
    <row r="14" spans="1:3" ht="33.950000000000003" customHeight="1" x14ac:dyDescent="0.25">
      <c r="A14" s="23" t="str">
        <f ca="1">SUBSTITUTE(_xlfn.FORMULATEXT(B13),",",", ")</f>
        <v>=QS.LOAN.PRICER("Example.Pricer";"EUR";"ESTR")</v>
      </c>
      <c r="B14" s="23"/>
      <c r="C14" s="23"/>
    </row>
    <row r="16" spans="1:3" ht="38.1" customHeight="1" x14ac:dyDescent="0.25">
      <c r="A16" s="2" t="s">
        <v>88</v>
      </c>
      <c r="B16" s="8" t="str" cm="1">
        <f t="array" ref="B16">Context_Root</f>
        <v>QSObject:PricingContext:w2~Example.Context:6</v>
      </c>
      <c r="C16" s="5" t="s">
        <v>89</v>
      </c>
    </row>
    <row r="17" spans="1:4" ht="33.950000000000003" customHeight="1" x14ac:dyDescent="0.25">
      <c r="A17" s="23" t="str">
        <f ca="1">SUBSTITUTE(_xlfn.FORMULATEXT(B16),",",", ")</f>
        <v>=Context_Root</v>
      </c>
      <c r="B17" s="23"/>
      <c r="C17" s="23"/>
    </row>
    <row r="19" spans="1:4" ht="38.1" customHeight="1" x14ac:dyDescent="0.25">
      <c r="A19" s="2" t="s">
        <v>90</v>
      </c>
      <c r="B19" s="8" t="str" cm="1">
        <f t="array" ref="B19">Context_NextRoot</f>
        <v>QSObject:PricingContext:w2~Example.Next:4</v>
      </c>
      <c r="C19" s="5" t="s">
        <v>91</v>
      </c>
    </row>
    <row r="20" spans="1:4" ht="33.950000000000003" customHeight="1" x14ac:dyDescent="0.25">
      <c r="A20" s="23" t="str">
        <f ca="1">SUBSTITUTE(_xlfn.FORMULATEXT(B19),",",", ")</f>
        <v>=Context_NextRoot</v>
      </c>
      <c r="B20" s="23"/>
      <c r="C20" s="23"/>
    </row>
    <row r="22" spans="1:4" ht="24" customHeight="1" x14ac:dyDescent="0.25">
      <c r="A22" s="1" t="s">
        <v>92</v>
      </c>
      <c r="B22" s="8" t="str">
        <f>Context_Snapshot</f>
        <v>QSObject:PricingContext:w2~Example.Context:6</v>
      </c>
      <c r="D22" s="6" t="s">
        <v>94</v>
      </c>
    </row>
    <row r="23" spans="1:4" ht="24" customHeight="1" x14ac:dyDescent="0.25">
      <c r="A23" s="1" t="s">
        <v>93</v>
      </c>
      <c r="B23" s="8" t="str">
        <f>Context_NextSnapshot</f>
        <v>QSObject:PricingContext:w2~Example.Next:4</v>
      </c>
      <c r="D23" s="6" t="s">
        <v>95</v>
      </c>
    </row>
    <row r="25" spans="1:4" ht="38.1" customHeight="1" x14ac:dyDescent="0.25">
      <c r="A25" s="2" t="s">
        <v>96</v>
      </c>
      <c r="B25" s="8" t="str" cm="1">
        <f t="array" ref="B25">_xll.QS.SNAPSHOT.FROM.RANGE("Example.Archive",Context_Snapshots,Context_ObservationTimes)</f>
        <v>QSEngine:MarketSnapshotStore:2:18</v>
      </c>
      <c r="C25" s="5" t="s">
        <v>97</v>
      </c>
    </row>
    <row r="26" spans="1:4" ht="33.950000000000003" customHeight="1" x14ac:dyDescent="0.25">
      <c r="A26" s="23" t="str">
        <f ca="1">SUBSTITUTE(_xlfn.FORMULATEXT(B25),",",", ")</f>
        <v>=QS.SNAPSHOT.FROM.RANGE("Example.Archive";Context_Snapshots;Context_ObservationTimes)</v>
      </c>
      <c r="B26" s="23"/>
      <c r="C26" s="23"/>
    </row>
  </sheetData>
  <mergeCells count="8">
    <mergeCell ref="A17:C17"/>
    <mergeCell ref="A20:C20"/>
    <mergeCell ref="A26:C26"/>
    <mergeCell ref="A1:C1"/>
    <mergeCell ref="A2:C3"/>
    <mergeCell ref="A8:C8"/>
    <mergeCell ref="A11:C11"/>
    <mergeCell ref="A14:C14"/>
  </mergeCells>
  <hyperlinks>
    <hyperlink ref="A4" location="'Start Here'!A1" display="← Start Here" xr:uid="{00000000-0004-0000-0300-000000000000}"/>
    <hyperlink ref="C4" location="'4 Results'!A1" display="Next → 4 Results" xr:uid="{00000000-0004-0000-0300-000001000000}"/>
  </hyperlinks>
  <pageMargins left="0.3" right="0.3" top="0.4" bottom="0.4" header="0.3" footer="0.3"/>
  <pageSetup paperSize="9" fitToHeight="0" orientation="landscape"/>
  <headerFooter>
    <oddFooter>&amp;LQuantSupport&amp;CLoan contract and historical market archive&amp;R&amp;P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1845B"/>
    <pageSetUpPr fitToPage="1"/>
  </sheetPr>
  <dimension ref="A1:I174"/>
  <sheetViews>
    <sheetView showGridLines="0" tabSelected="1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9" sqref="G9"/>
    </sheetView>
  </sheetViews>
  <sheetFormatPr baseColWidth="10" defaultColWidth="9.140625" defaultRowHeight="24" customHeight="1" x14ac:dyDescent="0.25"/>
  <cols>
    <col min="1" max="1" width="29.7109375" style="1" customWidth="1"/>
    <col min="2" max="2" width="24.7109375" style="1" customWidth="1"/>
    <col min="3" max="3" width="32.7109375" style="1" customWidth="1"/>
    <col min="4" max="4" width="8.7109375" style="1" customWidth="1"/>
    <col min="5" max="5" width="35.7109375" style="1" customWidth="1"/>
    <col min="6" max="6" width="30.7109375" style="1" customWidth="1"/>
    <col min="7" max="7" width="20.7109375" style="1" customWidth="1"/>
  </cols>
  <sheetData>
    <row r="1" spans="1:9" ht="38.1" customHeight="1" x14ac:dyDescent="0.25">
      <c r="A1" s="13" t="s">
        <v>98</v>
      </c>
      <c r="B1" s="13"/>
      <c r="C1" s="13"/>
      <c r="D1" s="13"/>
      <c r="E1" s="13"/>
      <c r="F1" s="13"/>
      <c r="G1" s="13"/>
    </row>
    <row r="2" spans="1:9" ht="24" customHeight="1" x14ac:dyDescent="0.25">
      <c r="A2" s="14" t="s">
        <v>99</v>
      </c>
      <c r="B2" s="14"/>
      <c r="C2" s="14"/>
      <c r="D2" s="14"/>
      <c r="E2" s="14"/>
      <c r="F2" s="14"/>
      <c r="G2" s="14"/>
    </row>
    <row r="3" spans="1:9" ht="24" customHeight="1" x14ac:dyDescent="0.25">
      <c r="A3" s="14"/>
      <c r="B3" s="14"/>
      <c r="C3" s="14"/>
      <c r="D3" s="14"/>
      <c r="E3" s="14"/>
      <c r="F3" s="14"/>
      <c r="G3" s="14"/>
    </row>
    <row r="4" spans="1:9" ht="24" customHeight="1" x14ac:dyDescent="0.25">
      <c r="A4" s="4" t="s">
        <v>30</v>
      </c>
    </row>
    <row r="6" spans="1:9" ht="36" customHeight="1" x14ac:dyDescent="0.25">
      <c r="A6" s="3" t="s">
        <v>100</v>
      </c>
      <c r="B6" s="3" t="s">
        <v>33</v>
      </c>
      <c r="C6" s="3" t="s">
        <v>34</v>
      </c>
      <c r="E6" s="3" t="s">
        <v>106</v>
      </c>
      <c r="F6" s="3" t="s">
        <v>107</v>
      </c>
      <c r="G6" s="3" t="s">
        <v>108</v>
      </c>
    </row>
    <row r="7" spans="1:9" ht="24" customHeight="1" x14ac:dyDescent="0.25">
      <c r="A7" s="1" t="s">
        <v>101</v>
      </c>
      <c r="B7" s="11" cm="1">
        <f t="array" ref="B7">_xll.QS.EVALUATE(Context_Root,Context_Loan,"Value")</f>
        <v>10782.481400786473</v>
      </c>
      <c r="C7" s="5" t="s">
        <v>102</v>
      </c>
      <c r="E7" s="8" t="str">
        <f>Context_Loan</f>
        <v>QSObject:Loan:w2~Example.Loan:3</v>
      </c>
      <c r="F7" s="6" t="s">
        <v>109</v>
      </c>
      <c r="G7" s="11" cm="1">
        <f t="array" ref="G7:G9">_xll.QS.EVALUATE.FROM.SNAPSHOT(Context_Archive,Context_HistoryInstruments,Context_Originations,Context_Pricer)</f>
        <v>10783.179518993045</v>
      </c>
    </row>
    <row r="8" spans="1:9" ht="24" customHeight="1" x14ac:dyDescent="0.25">
      <c r="A8" s="1" t="s">
        <v>103</v>
      </c>
      <c r="B8" s="12" cm="1">
        <f t="array" ref="B8">_xll.QS.EVALUATE(Context_Root,Context_Loan,"FairRate(0)",Context_Pricer)</f>
        <v>2.4534478842542739E-2</v>
      </c>
      <c r="E8" s="8" t="str">
        <f>Context_Loan</f>
        <v>QSObject:Loan:w2~Example.Loan:3</v>
      </c>
      <c r="F8" s="6" t="s">
        <v>110</v>
      </c>
      <c r="G8" s="1">
        <v>10782.481400786473</v>
      </c>
    </row>
    <row r="9" spans="1:9" ht="24" customHeight="1" x14ac:dyDescent="0.25">
      <c r="E9" s="8" t="str">
        <f>Context_Loan</f>
        <v>QSObject:Loan:w2~Example.Loan:3</v>
      </c>
      <c r="F9" s="6" t="s">
        <v>111</v>
      </c>
      <c r="G9" s="1">
        <v>10783.179518993045</v>
      </c>
    </row>
    <row r="12" spans="1:9" ht="24" customHeight="1" x14ac:dyDescent="0.25">
      <c r="A12" s="2" t="s">
        <v>104</v>
      </c>
    </row>
    <row r="13" spans="1:9" ht="24" customHeight="1" x14ac:dyDescent="0.25">
      <c r="A13" s="7" t="str" cm="1">
        <f t="array" ref="A13:I133">_xll.QS.EVALUATE(Context_Root,Context_Loan,"Cashflows")</f>
        <v>Payment date</v>
      </c>
      <c r="B13" s="1" t="str">
        <v>Type</v>
      </c>
      <c r="C13" s="1" t="str">
        <v>Amount</v>
      </c>
      <c r="D13" s="1" t="str">
        <v>Fixing</v>
      </c>
      <c r="E13" s="1" t="str">
        <v>Accrual</v>
      </c>
      <c r="F13" s="1" t="str">
        <v>Currency</v>
      </c>
      <c r="G13" s="1" t="str">
        <v>Floor</v>
      </c>
      <c r="H13" t="str">
        <v>Cap</v>
      </c>
      <c r="I13" t="str">
        <v>Leg</v>
      </c>
    </row>
    <row r="14" spans="1:9" ht="24" customHeight="1" x14ac:dyDescent="0.25">
      <c r="A14" s="1" t="str">
        <v>2026-03-24</v>
      </c>
      <c r="B14" s="1" t="str">
        <v>FixedRateCoupon</v>
      </c>
      <c r="C14" s="1">
        <v>38.356164383561648</v>
      </c>
      <c r="D14" s="1">
        <v>0</v>
      </c>
      <c r="E14" s="1">
        <v>7.6712328767123292E-2</v>
      </c>
      <c r="F14" s="1" t="str">
        <v>EUR</v>
      </c>
      <c r="G14" s="1">
        <v>0</v>
      </c>
      <c r="H14">
        <v>0</v>
      </c>
      <c r="I14">
        <v>0</v>
      </c>
    </row>
    <row r="15" spans="1:9" ht="24" customHeight="1" x14ac:dyDescent="0.25">
      <c r="A15" s="1" t="str">
        <v>2026-03-24</v>
      </c>
      <c r="B15" s="1" t="str">
        <v>Redemption</v>
      </c>
      <c r="C15" s="1">
        <v>113.58284397077659</v>
      </c>
      <c r="D15" s="1">
        <v>0</v>
      </c>
      <c r="E15" s="1">
        <v>0</v>
      </c>
      <c r="F15" s="1" t="str">
        <v>EUR</v>
      </c>
      <c r="G15" s="1">
        <v>0</v>
      </c>
      <c r="H15">
        <v>0</v>
      </c>
      <c r="I15">
        <v>0</v>
      </c>
    </row>
    <row r="16" spans="1:9" ht="24" customHeight="1" x14ac:dyDescent="0.25">
      <c r="A16" s="1" t="str">
        <v>2026-04-24</v>
      </c>
      <c r="B16" s="1" t="str">
        <v>FixedRateCoupon</v>
      </c>
      <c r="C16" s="1">
        <v>41.983415320124102</v>
      </c>
      <c r="D16" s="1">
        <v>0</v>
      </c>
      <c r="E16" s="1">
        <v>8.4931506849315067E-2</v>
      </c>
      <c r="F16" s="1" t="str">
        <v>EUR</v>
      </c>
      <c r="G16" s="1">
        <v>0</v>
      </c>
      <c r="H16">
        <v>0</v>
      </c>
      <c r="I16">
        <v>0</v>
      </c>
    </row>
    <row r="17" spans="1:9" ht="24" customHeight="1" x14ac:dyDescent="0.25">
      <c r="A17" s="1" t="str">
        <v>2026-04-24</v>
      </c>
      <c r="B17" s="1" t="str">
        <v>Redemption</v>
      </c>
      <c r="C17" s="1">
        <v>109.95559303421214</v>
      </c>
      <c r="D17" s="1">
        <v>0</v>
      </c>
      <c r="E17" s="1">
        <v>0</v>
      </c>
      <c r="F17" s="1" t="str">
        <v>EUR</v>
      </c>
      <c r="G17" s="1">
        <v>0</v>
      </c>
      <c r="H17">
        <v>0</v>
      </c>
      <c r="I17">
        <v>0</v>
      </c>
    </row>
    <row r="18" spans="1:9" ht="24" customHeight="1" x14ac:dyDescent="0.25">
      <c r="A18" s="1" t="str">
        <v>2026-05-24</v>
      </c>
      <c r="B18" s="1" t="str">
        <v>FixedRateCoupon</v>
      </c>
      <c r="C18" s="1">
        <v>40.177239299979504</v>
      </c>
      <c r="D18" s="1">
        <v>0</v>
      </c>
      <c r="E18" s="1">
        <v>8.2191780821917804E-2</v>
      </c>
      <c r="F18" s="1" t="str">
        <v>EUR</v>
      </c>
      <c r="G18" s="1">
        <v>0</v>
      </c>
      <c r="H18">
        <v>0</v>
      </c>
      <c r="I18">
        <v>0</v>
      </c>
    </row>
    <row r="19" spans="1:9" ht="24" customHeight="1" x14ac:dyDescent="0.25">
      <c r="A19" s="1" t="str">
        <v>2026-05-24</v>
      </c>
      <c r="B19" s="1" t="str">
        <v>Redemption</v>
      </c>
      <c r="C19" s="1">
        <v>111.76176905435932</v>
      </c>
      <c r="D19" s="1">
        <v>0</v>
      </c>
      <c r="E19" s="1">
        <v>0</v>
      </c>
      <c r="F19" s="1" t="str">
        <v>EUR</v>
      </c>
      <c r="G19" s="1">
        <v>0</v>
      </c>
      <c r="H19">
        <v>0</v>
      </c>
      <c r="I19">
        <v>0</v>
      </c>
    </row>
    <row r="20" spans="1:9" ht="24" customHeight="1" x14ac:dyDescent="0.25">
      <c r="A20" s="1" t="str">
        <v>2026-06-24</v>
      </c>
      <c r="B20" s="1" t="str">
        <v>FixedRateCoupon</v>
      </c>
      <c r="C20" s="1">
        <v>41.04187583728222</v>
      </c>
      <c r="D20" s="1">
        <v>0</v>
      </c>
      <c r="E20" s="1">
        <v>8.4931506849315067E-2</v>
      </c>
      <c r="F20" s="1" t="str">
        <v>EUR</v>
      </c>
      <c r="G20" s="1">
        <v>0</v>
      </c>
      <c r="H20">
        <v>0</v>
      </c>
      <c r="I20">
        <v>0</v>
      </c>
    </row>
    <row r="21" spans="1:9" ht="24" customHeight="1" x14ac:dyDescent="0.25">
      <c r="A21" s="1" t="str">
        <v>2026-06-24</v>
      </c>
      <c r="B21" s="1" t="str">
        <v>Redemption</v>
      </c>
      <c r="C21" s="1">
        <v>110.89713251705325</v>
      </c>
      <c r="D21" s="1">
        <v>0</v>
      </c>
      <c r="E21" s="1">
        <v>0</v>
      </c>
      <c r="F21" s="1" t="str">
        <v>EUR</v>
      </c>
      <c r="G21" s="1">
        <v>0</v>
      </c>
      <c r="H21">
        <v>0</v>
      </c>
      <c r="I21">
        <v>0</v>
      </c>
    </row>
    <row r="22" spans="1:9" ht="24" customHeight="1" x14ac:dyDescent="0.25">
      <c r="A22" s="1" t="str">
        <v>2026-07-24</v>
      </c>
      <c r="B22" s="1" t="str">
        <v>FixedRateCoupon</v>
      </c>
      <c r="C22" s="1">
        <v>39.262202718179168</v>
      </c>
      <c r="D22" s="1">
        <v>0</v>
      </c>
      <c r="E22" s="1">
        <v>8.2191780821917804E-2</v>
      </c>
      <c r="F22" s="1" t="str">
        <v>EUR</v>
      </c>
      <c r="G22" s="1">
        <v>0</v>
      </c>
      <c r="H22">
        <v>0</v>
      </c>
      <c r="I22">
        <v>0</v>
      </c>
    </row>
    <row r="23" spans="1:9" ht="24" customHeight="1" x14ac:dyDescent="0.25">
      <c r="A23" s="1" t="str">
        <v>2026-07-24</v>
      </c>
      <c r="B23" s="1" t="str">
        <v>Redemption</v>
      </c>
      <c r="C23" s="1">
        <v>112.67680563615977</v>
      </c>
      <c r="D23" s="1">
        <v>0</v>
      </c>
      <c r="E23" s="1">
        <v>0</v>
      </c>
      <c r="F23" s="1" t="str">
        <v>EUR</v>
      </c>
      <c r="G23" s="1">
        <v>0</v>
      </c>
      <c r="H23">
        <v>0</v>
      </c>
      <c r="I23">
        <v>0</v>
      </c>
    </row>
    <row r="24" spans="1:9" ht="24" customHeight="1" x14ac:dyDescent="0.25">
      <c r="A24" s="1" t="str">
        <v>2026-08-24</v>
      </c>
      <c r="B24" s="1" t="str">
        <v>FixedRateCoupon</v>
      </c>
      <c r="C24" s="1">
        <v>40.092452264302828</v>
      </c>
      <c r="D24" s="1">
        <v>0</v>
      </c>
      <c r="E24" s="1">
        <v>8.4931506849315067E-2</v>
      </c>
      <c r="F24" s="1" t="str">
        <v>EUR</v>
      </c>
      <c r="G24" s="1">
        <v>0</v>
      </c>
      <c r="H24">
        <v>0</v>
      </c>
      <c r="I24">
        <v>0</v>
      </c>
    </row>
    <row r="25" spans="1:9" ht="24" customHeight="1" x14ac:dyDescent="0.25">
      <c r="A25" s="1" t="str">
        <v>2026-08-24</v>
      </c>
      <c r="B25" s="1" t="str">
        <v>Redemption</v>
      </c>
      <c r="C25" s="1">
        <v>111.84655609003312</v>
      </c>
      <c r="D25" s="1">
        <v>0</v>
      </c>
      <c r="E25" s="1">
        <v>0</v>
      </c>
      <c r="F25" s="1" t="str">
        <v>EUR</v>
      </c>
      <c r="G25" s="1">
        <v>0</v>
      </c>
      <c r="H25">
        <v>0</v>
      </c>
      <c r="I25">
        <v>0</v>
      </c>
    </row>
    <row r="26" spans="1:9" ht="24" customHeight="1" x14ac:dyDescent="0.25">
      <c r="A26" s="1" t="str">
        <v>2026-09-24</v>
      </c>
      <c r="B26" s="1" t="str">
        <v>FixedRateCoupon</v>
      </c>
      <c r="C26" s="1">
        <v>39.617487437071176</v>
      </c>
      <c r="D26" s="1">
        <v>0</v>
      </c>
      <c r="E26" s="1">
        <v>8.4931506849315067E-2</v>
      </c>
      <c r="F26" s="1" t="str">
        <v>EUR</v>
      </c>
      <c r="G26" s="1">
        <v>0</v>
      </c>
      <c r="H26">
        <v>0</v>
      </c>
      <c r="I26">
        <v>0</v>
      </c>
    </row>
    <row r="27" spans="1:9" ht="24" customHeight="1" x14ac:dyDescent="0.25">
      <c r="A27" s="1" t="str">
        <v>2026-09-24</v>
      </c>
      <c r="B27" s="1" t="str">
        <v>Redemption</v>
      </c>
      <c r="C27" s="1">
        <v>112.32152091726493</v>
      </c>
      <c r="D27" s="1">
        <v>0</v>
      </c>
      <c r="E27" s="1">
        <v>0</v>
      </c>
      <c r="F27" s="1" t="str">
        <v>EUR</v>
      </c>
      <c r="G27" s="1">
        <v>0</v>
      </c>
      <c r="H27">
        <v>0</v>
      </c>
      <c r="I27">
        <v>0</v>
      </c>
    </row>
    <row r="28" spans="1:9" ht="24" customHeight="1" x14ac:dyDescent="0.25">
      <c r="A28" s="1" t="str">
        <v>2026-10-24</v>
      </c>
      <c r="B28" s="1" t="str">
        <v>FixedRateCoupon</v>
      </c>
      <c r="C28" s="1">
        <v>37.877908679918384</v>
      </c>
      <c r="D28" s="1">
        <v>0</v>
      </c>
      <c r="E28" s="1">
        <v>8.2191780821917804E-2</v>
      </c>
      <c r="F28" s="1" t="str">
        <v>EUR</v>
      </c>
      <c r="G28" s="1">
        <v>0</v>
      </c>
      <c r="H28">
        <v>0</v>
      </c>
      <c r="I28">
        <v>0</v>
      </c>
    </row>
    <row r="29" spans="1:9" ht="24" customHeight="1" x14ac:dyDescent="0.25">
      <c r="A29" s="1" t="str">
        <v>2026-10-24</v>
      </c>
      <c r="B29" s="1" t="str">
        <v>Redemption</v>
      </c>
      <c r="C29" s="1">
        <v>114.06109967441989</v>
      </c>
      <c r="D29" s="1">
        <v>0</v>
      </c>
      <c r="E29" s="1">
        <v>0</v>
      </c>
      <c r="F29" s="1" t="str">
        <v>EUR</v>
      </c>
      <c r="G29" s="1">
        <v>0</v>
      </c>
      <c r="H29">
        <v>0</v>
      </c>
      <c r="I29">
        <v>0</v>
      </c>
    </row>
    <row r="30" spans="1:9" ht="24" customHeight="1" x14ac:dyDescent="0.25">
      <c r="A30" s="1" t="str">
        <v>2026-11-24</v>
      </c>
      <c r="B30" s="1" t="str">
        <v>FixedRateCoupon</v>
      </c>
      <c r="C30" s="1">
        <v>38.656136582503748</v>
      </c>
      <c r="D30" s="1">
        <v>0</v>
      </c>
      <c r="E30" s="1">
        <v>8.4931506849315067E-2</v>
      </c>
      <c r="F30" s="1" t="str">
        <v>EUR</v>
      </c>
      <c r="G30" s="1">
        <v>0</v>
      </c>
      <c r="H30">
        <v>0</v>
      </c>
      <c r="I30">
        <v>0</v>
      </c>
    </row>
    <row r="31" spans="1:9" ht="24" customHeight="1" x14ac:dyDescent="0.25">
      <c r="A31" s="1" t="str">
        <v>2026-11-24</v>
      </c>
      <c r="B31" s="1" t="str">
        <v>Redemption</v>
      </c>
      <c r="C31" s="1">
        <v>113.28287177183302</v>
      </c>
      <c r="D31" s="1">
        <v>0</v>
      </c>
      <c r="E31" s="1">
        <v>0</v>
      </c>
      <c r="F31" s="1" t="str">
        <v>EUR</v>
      </c>
      <c r="G31" s="1">
        <v>0</v>
      </c>
      <c r="H31">
        <v>0</v>
      </c>
      <c r="I31">
        <v>0</v>
      </c>
    </row>
    <row r="32" spans="1:9" ht="24" customHeight="1" x14ac:dyDescent="0.25">
      <c r="A32" s="1" t="str">
        <v>2026-12-24</v>
      </c>
      <c r="B32" s="1" t="str">
        <v>FixedRateCoupon</v>
      </c>
      <c r="C32" s="1">
        <v>36.943618386303648</v>
      </c>
      <c r="D32" s="1">
        <v>0</v>
      </c>
      <c r="E32" s="1">
        <v>8.2191780821917804E-2</v>
      </c>
      <c r="F32" s="1" t="str">
        <v>EUR</v>
      </c>
      <c r="G32" s="1">
        <v>0</v>
      </c>
      <c r="H32">
        <v>0</v>
      </c>
      <c r="I32">
        <v>0</v>
      </c>
    </row>
    <row r="33" spans="1:9" ht="24" customHeight="1" x14ac:dyDescent="0.25">
      <c r="A33" s="1" t="str">
        <v>2026-12-24</v>
      </c>
      <c r="B33" s="1" t="str">
        <v>Redemption</v>
      </c>
      <c r="C33" s="1">
        <v>114.99538996803494</v>
      </c>
      <c r="D33" s="1">
        <v>0</v>
      </c>
      <c r="E33" s="1">
        <v>0</v>
      </c>
      <c r="F33" s="1" t="str">
        <v>EUR</v>
      </c>
      <c r="G33" s="1">
        <v>0</v>
      </c>
      <c r="H33">
        <v>0</v>
      </c>
      <c r="I33">
        <v>0</v>
      </c>
    </row>
    <row r="34" spans="1:9" ht="24" customHeight="1" x14ac:dyDescent="0.25">
      <c r="A34" s="1" t="str">
        <v>2027-01-24</v>
      </c>
      <c r="B34" s="1" t="str">
        <v>FixedRateCoupon</v>
      </c>
      <c r="C34" s="1">
        <v>37.686735744978279</v>
      </c>
      <c r="D34" s="1">
        <v>0</v>
      </c>
      <c r="E34" s="1">
        <v>8.4931506849315067E-2</v>
      </c>
      <c r="F34" s="1" t="str">
        <v>EUR</v>
      </c>
      <c r="G34" s="1">
        <v>0</v>
      </c>
      <c r="H34">
        <v>0</v>
      </c>
      <c r="I34">
        <v>0</v>
      </c>
    </row>
    <row r="35" spans="1:9" ht="24" customHeight="1" x14ac:dyDescent="0.25">
      <c r="A35" s="1" t="str">
        <v>2027-01-24</v>
      </c>
      <c r="B35" s="1" t="str">
        <v>Redemption</v>
      </c>
      <c r="C35" s="1">
        <v>114.25227260935753</v>
      </c>
      <c r="D35" s="1">
        <v>0</v>
      </c>
      <c r="E35" s="1">
        <v>0</v>
      </c>
      <c r="F35" s="1" t="str">
        <v>EUR</v>
      </c>
      <c r="G35" s="1">
        <v>0</v>
      </c>
      <c r="H35">
        <v>0</v>
      </c>
      <c r="I35">
        <v>0</v>
      </c>
    </row>
    <row r="36" spans="1:9" ht="24" customHeight="1" x14ac:dyDescent="0.25">
      <c r="A36" s="1" t="str">
        <v>2027-02-24</v>
      </c>
      <c r="B36" s="1" t="str">
        <v>FixedRateCoupon</v>
      </c>
      <c r="C36" s="1">
        <v>37.201554861294703</v>
      </c>
      <c r="D36" s="1">
        <v>0</v>
      </c>
      <c r="E36" s="1">
        <v>8.4931506849315067E-2</v>
      </c>
      <c r="F36" s="1" t="str">
        <v>EUR</v>
      </c>
      <c r="G36" s="1">
        <v>0</v>
      </c>
      <c r="H36">
        <v>0</v>
      </c>
      <c r="I36">
        <v>0</v>
      </c>
    </row>
    <row r="37" spans="1:9" ht="24" customHeight="1" x14ac:dyDescent="0.25">
      <c r="A37" s="1" t="str">
        <v>2027-02-24</v>
      </c>
      <c r="B37" s="1" t="str">
        <v>Redemption</v>
      </c>
      <c r="C37" s="1">
        <v>114.73745349304227</v>
      </c>
      <c r="D37" s="1">
        <v>0</v>
      </c>
      <c r="E37" s="1">
        <v>0</v>
      </c>
      <c r="F37" s="1" t="str">
        <v>EUR</v>
      </c>
      <c r="G37" s="1">
        <v>0</v>
      </c>
      <c r="H37">
        <v>0</v>
      </c>
      <c r="I37">
        <v>0</v>
      </c>
    </row>
    <row r="38" spans="1:9" ht="24" customHeight="1" x14ac:dyDescent="0.25">
      <c r="A38" s="1" t="str">
        <v>2027-03-24</v>
      </c>
      <c r="B38" s="1" t="str">
        <v>FixedRateCoupon</v>
      </c>
      <c r="C38" s="1">
        <v>33.161315528133791</v>
      </c>
      <c r="D38" s="1">
        <v>0</v>
      </c>
      <c r="E38" s="1">
        <v>7.6712328767123292E-2</v>
      </c>
      <c r="F38" s="1" t="str">
        <v>EUR</v>
      </c>
      <c r="G38" s="1">
        <v>0</v>
      </c>
      <c r="H38">
        <v>0</v>
      </c>
      <c r="I38">
        <v>0</v>
      </c>
    </row>
    <row r="39" spans="1:9" ht="24" customHeight="1" x14ac:dyDescent="0.25">
      <c r="A39" s="1" t="str">
        <v>2027-03-24</v>
      </c>
      <c r="B39" s="1" t="str">
        <v>Redemption</v>
      </c>
      <c r="C39" s="1">
        <v>118.77769282620284</v>
      </c>
      <c r="D39" s="1">
        <v>0</v>
      </c>
      <c r="E39" s="1">
        <v>0</v>
      </c>
      <c r="F39" s="1" t="str">
        <v>EUR</v>
      </c>
      <c r="G39" s="1">
        <v>0</v>
      </c>
      <c r="H39">
        <v>0</v>
      </c>
      <c r="I39">
        <v>0</v>
      </c>
    </row>
    <row r="40" spans="1:9" ht="24" customHeight="1" x14ac:dyDescent="0.25">
      <c r="A40" s="1" t="str">
        <v>2027-04-24</v>
      </c>
      <c r="B40" s="1" t="str">
        <v>FixedRateCoupon</v>
      </c>
      <c r="C40" s="1">
        <v>36.20991519884312</v>
      </c>
      <c r="D40" s="1">
        <v>0</v>
      </c>
      <c r="E40" s="1">
        <v>8.4931506849315067E-2</v>
      </c>
      <c r="F40" s="1" t="str">
        <v>EUR</v>
      </c>
      <c r="G40" s="1">
        <v>0</v>
      </c>
      <c r="H40">
        <v>0</v>
      </c>
      <c r="I40">
        <v>0</v>
      </c>
    </row>
    <row r="41" spans="1:9" ht="24" customHeight="1" x14ac:dyDescent="0.25">
      <c r="A41" s="1" t="str">
        <v>2027-04-24</v>
      </c>
      <c r="B41" s="1" t="str">
        <v>Redemption</v>
      </c>
      <c r="C41" s="1">
        <v>115.72909315549259</v>
      </c>
      <c r="D41" s="1">
        <v>0</v>
      </c>
      <c r="E41" s="1">
        <v>0</v>
      </c>
      <c r="F41" s="1" t="str">
        <v>EUR</v>
      </c>
      <c r="G41" s="1">
        <v>0</v>
      </c>
      <c r="H41">
        <v>0</v>
      </c>
      <c r="I41">
        <v>0</v>
      </c>
    </row>
    <row r="42" spans="1:9" ht="24" customHeight="1" x14ac:dyDescent="0.25">
      <c r="A42" s="1" t="str">
        <v>2027-05-24</v>
      </c>
      <c r="B42" s="1" t="str">
        <v>FixedRateCoupon</v>
      </c>
      <c r="C42" s="1">
        <v>34.566254405267493</v>
      </c>
      <c r="D42" s="1">
        <v>0</v>
      </c>
      <c r="E42" s="1">
        <v>8.2191780821917804E-2</v>
      </c>
      <c r="F42" s="1" t="str">
        <v>EUR</v>
      </c>
      <c r="G42" s="1">
        <v>0</v>
      </c>
      <c r="H42">
        <v>0</v>
      </c>
      <c r="I42">
        <v>0</v>
      </c>
    </row>
    <row r="43" spans="1:9" ht="24" customHeight="1" x14ac:dyDescent="0.25">
      <c r="A43" s="1" t="str">
        <v>2027-05-24</v>
      </c>
      <c r="B43" s="1" t="str">
        <v>Redemption</v>
      </c>
      <c r="C43" s="1">
        <v>117.3727539490701</v>
      </c>
      <c r="D43" s="1">
        <v>0</v>
      </c>
      <c r="E43" s="1">
        <v>0</v>
      </c>
      <c r="F43" s="1" t="str">
        <v>EUR</v>
      </c>
      <c r="G43" s="1">
        <v>0</v>
      </c>
      <c r="H43">
        <v>0</v>
      </c>
      <c r="I43">
        <v>0</v>
      </c>
    </row>
    <row r="44" spans="1:9" ht="24" customHeight="1" x14ac:dyDescent="0.25">
      <c r="A44" s="1" t="str">
        <v>2027-06-24</v>
      </c>
      <c r="B44" s="1" t="str">
        <v>FixedRateCoupon</v>
      </c>
      <c r="C44" s="1">
        <v>35.220030642645661</v>
      </c>
      <c r="D44" s="1">
        <v>0</v>
      </c>
      <c r="E44" s="1">
        <v>8.4931506849315067E-2</v>
      </c>
      <c r="F44" s="1" t="str">
        <v>EUR</v>
      </c>
      <c r="G44" s="1">
        <v>0</v>
      </c>
      <c r="H44">
        <v>0</v>
      </c>
      <c r="I44">
        <v>0</v>
      </c>
    </row>
    <row r="45" spans="1:9" ht="24" customHeight="1" x14ac:dyDescent="0.25">
      <c r="A45" s="1" t="str">
        <v>2027-06-24</v>
      </c>
      <c r="B45" s="1" t="str">
        <v>Redemption</v>
      </c>
      <c r="C45" s="1">
        <v>116.71897771169097</v>
      </c>
      <c r="D45" s="1">
        <v>0</v>
      </c>
      <c r="E45" s="1">
        <v>0</v>
      </c>
      <c r="F45" s="1" t="str">
        <v>EUR</v>
      </c>
      <c r="G45" s="1">
        <v>0</v>
      </c>
      <c r="H45">
        <v>0</v>
      </c>
      <c r="I45">
        <v>0</v>
      </c>
    </row>
    <row r="46" spans="1:9" ht="24" customHeight="1" x14ac:dyDescent="0.25">
      <c r="A46" s="1" t="str">
        <v>2027-07-24</v>
      </c>
      <c r="B46" s="1" t="str">
        <v>FixedRateCoupon</v>
      </c>
      <c r="C46" s="1">
        <v>33.604233590223274</v>
      </c>
      <c r="D46" s="1">
        <v>0</v>
      </c>
      <c r="E46" s="1">
        <v>8.2191780821917804E-2</v>
      </c>
      <c r="F46" s="1" t="str">
        <v>EUR</v>
      </c>
      <c r="G46" s="1">
        <v>0</v>
      </c>
      <c r="H46">
        <v>0</v>
      </c>
      <c r="I46">
        <v>0</v>
      </c>
    </row>
    <row r="47" spans="1:9" ht="24" customHeight="1" x14ac:dyDescent="0.25">
      <c r="A47" s="1" t="str">
        <v>2027-07-24</v>
      </c>
      <c r="B47" s="1" t="str">
        <v>Redemption</v>
      </c>
      <c r="C47" s="1">
        <v>118.33477476411463</v>
      </c>
      <c r="D47" s="1">
        <v>0</v>
      </c>
      <c r="E47" s="1">
        <v>0</v>
      </c>
      <c r="F47" s="1" t="str">
        <v>EUR</v>
      </c>
      <c r="G47" s="1">
        <v>0</v>
      </c>
      <c r="H47">
        <v>0</v>
      </c>
      <c r="I47">
        <v>0</v>
      </c>
    </row>
    <row r="48" spans="1:9" ht="24" customHeight="1" x14ac:dyDescent="0.25">
      <c r="A48" s="1" t="str">
        <v>2027-08-24</v>
      </c>
      <c r="B48" s="1" t="str">
        <v>FixedRateCoupon</v>
      </c>
      <c r="C48" s="1">
        <v>34.221857173227853</v>
      </c>
      <c r="D48" s="1">
        <v>0</v>
      </c>
      <c r="E48" s="1">
        <v>8.4931506849315067E-2</v>
      </c>
      <c r="F48" s="1" t="str">
        <v>EUR</v>
      </c>
      <c r="G48" s="1">
        <v>0</v>
      </c>
      <c r="H48">
        <v>0</v>
      </c>
      <c r="I48">
        <v>0</v>
      </c>
    </row>
    <row r="49" spans="1:9" ht="24" customHeight="1" x14ac:dyDescent="0.25">
      <c r="A49" s="1" t="str">
        <v>2027-08-24</v>
      </c>
      <c r="B49" s="1" t="str">
        <v>Redemption</v>
      </c>
      <c r="C49" s="1">
        <v>117.71715118110842</v>
      </c>
      <c r="D49" s="1">
        <v>0</v>
      </c>
      <c r="E49" s="1">
        <v>0</v>
      </c>
      <c r="F49" s="1" t="str">
        <v>EUR</v>
      </c>
      <c r="G49" s="1">
        <v>0</v>
      </c>
      <c r="H49">
        <v>0</v>
      </c>
      <c r="I49">
        <v>0</v>
      </c>
    </row>
    <row r="50" spans="1:9" ht="24" customHeight="1" x14ac:dyDescent="0.25">
      <c r="A50" s="1" t="str">
        <v>2027-09-24</v>
      </c>
      <c r="B50" s="1" t="str">
        <v>FixedRateCoupon</v>
      </c>
      <c r="C50" s="1">
        <v>33.721962421636846</v>
      </c>
      <c r="D50" s="1">
        <v>0</v>
      </c>
      <c r="E50" s="1">
        <v>8.4931506849315067E-2</v>
      </c>
      <c r="F50" s="1" t="str">
        <v>EUR</v>
      </c>
      <c r="G50" s="1">
        <v>0</v>
      </c>
      <c r="H50">
        <v>0</v>
      </c>
      <c r="I50">
        <v>0</v>
      </c>
    </row>
    <row r="51" spans="1:9" ht="24" customHeight="1" x14ac:dyDescent="0.25">
      <c r="A51" s="1" t="str">
        <v>2027-09-24</v>
      </c>
      <c r="B51" s="1" t="str">
        <v>Redemption</v>
      </c>
      <c r="C51" s="1">
        <v>118.21704593269988</v>
      </c>
      <c r="D51" s="1">
        <v>0</v>
      </c>
      <c r="E51" s="1">
        <v>0</v>
      </c>
      <c r="F51" s="1" t="str">
        <v>EUR</v>
      </c>
      <c r="G51" s="1">
        <v>0</v>
      </c>
      <c r="H51">
        <v>0</v>
      </c>
      <c r="I51">
        <v>0</v>
      </c>
    </row>
    <row r="52" spans="1:9" ht="24" customHeight="1" x14ac:dyDescent="0.25">
      <c r="A52" s="1" t="str">
        <v>2027-10-24</v>
      </c>
      <c r="B52" s="1" t="str">
        <v>FixedRateCoupon</v>
      </c>
      <c r="C52" s="1">
        <v>32.148333705793455</v>
      </c>
      <c r="D52" s="1">
        <v>0</v>
      </c>
      <c r="E52" s="1">
        <v>8.2191780821917804E-2</v>
      </c>
      <c r="F52" s="1" t="str">
        <v>EUR</v>
      </c>
      <c r="G52" s="1">
        <v>0</v>
      </c>
      <c r="H52">
        <v>0</v>
      </c>
      <c r="I52">
        <v>0</v>
      </c>
    </row>
    <row r="53" spans="1:9" ht="24" customHeight="1" x14ac:dyDescent="0.25">
      <c r="A53" s="1" t="str">
        <v>2027-10-24</v>
      </c>
      <c r="B53" s="1" t="str">
        <v>Redemption</v>
      </c>
      <c r="C53" s="1">
        <v>119.79067464854415</v>
      </c>
      <c r="D53" s="1">
        <v>0</v>
      </c>
      <c r="E53" s="1">
        <v>0</v>
      </c>
      <c r="F53" s="1" t="str">
        <v>EUR</v>
      </c>
      <c r="G53" s="1">
        <v>0</v>
      </c>
      <c r="H53">
        <v>0</v>
      </c>
      <c r="I53">
        <v>0</v>
      </c>
    </row>
    <row r="54" spans="1:9" ht="24" customHeight="1" x14ac:dyDescent="0.25">
      <c r="A54" s="1" t="str">
        <v>2027-11-24</v>
      </c>
      <c r="B54" s="1" t="str">
        <v>FixedRateCoupon</v>
      </c>
      <c r="C54" s="1">
        <v>32.711244704100061</v>
      </c>
      <c r="D54" s="1">
        <v>0</v>
      </c>
      <c r="E54" s="1">
        <v>8.4931506849315067E-2</v>
      </c>
      <c r="F54" s="1" t="str">
        <v>EUR</v>
      </c>
      <c r="G54" s="1">
        <v>0</v>
      </c>
      <c r="H54">
        <v>0</v>
      </c>
      <c r="I54">
        <v>0</v>
      </c>
    </row>
    <row r="55" spans="1:9" ht="24" customHeight="1" x14ac:dyDescent="0.25">
      <c r="A55" s="1" t="str">
        <v>2027-11-24</v>
      </c>
      <c r="B55" s="1" t="str">
        <v>Redemption</v>
      </c>
      <c r="C55" s="1">
        <v>119.22776365023674</v>
      </c>
      <c r="D55" s="1">
        <v>0</v>
      </c>
      <c r="E55" s="1">
        <v>0</v>
      </c>
      <c r="F55" s="1" t="str">
        <v>EUR</v>
      </c>
      <c r="G55" s="1">
        <v>0</v>
      </c>
      <c r="H55">
        <v>0</v>
      </c>
      <c r="I55">
        <v>0</v>
      </c>
    </row>
    <row r="56" spans="1:9" ht="24" customHeight="1" x14ac:dyDescent="0.25">
      <c r="A56" s="1" t="str">
        <v>2027-12-24</v>
      </c>
      <c r="B56" s="1" t="str">
        <v>FixedRateCoupon</v>
      </c>
      <c r="C56" s="1">
        <v>31.166066151140928</v>
      </c>
      <c r="D56" s="1">
        <v>0</v>
      </c>
      <c r="E56" s="1">
        <v>8.2191780821917804E-2</v>
      </c>
      <c r="F56" s="1" t="str">
        <v>EUR</v>
      </c>
      <c r="G56" s="1">
        <v>0</v>
      </c>
      <c r="H56">
        <v>0</v>
      </c>
      <c r="I56">
        <v>0</v>
      </c>
    </row>
    <row r="57" spans="1:9" ht="24" customHeight="1" x14ac:dyDescent="0.25">
      <c r="A57" s="1" t="str">
        <v>2027-12-24</v>
      </c>
      <c r="B57" s="1" t="str">
        <v>Redemption</v>
      </c>
      <c r="C57" s="1">
        <v>120.77294220319709</v>
      </c>
      <c r="D57" s="1">
        <v>0</v>
      </c>
      <c r="E57" s="1">
        <v>0</v>
      </c>
      <c r="F57" s="1" t="str">
        <v>EUR</v>
      </c>
      <c r="G57" s="1">
        <v>0</v>
      </c>
      <c r="H57">
        <v>0</v>
      </c>
      <c r="I57">
        <v>0</v>
      </c>
    </row>
    <row r="58" spans="1:9" ht="24" customHeight="1" x14ac:dyDescent="0.25">
      <c r="A58" s="1" t="str">
        <v>2028-01-24</v>
      </c>
      <c r="B58" s="1" t="str">
        <v>FixedRateCoupon</v>
      </c>
      <c r="C58" s="1">
        <v>31.692063624448494</v>
      </c>
      <c r="D58" s="1">
        <v>0</v>
      </c>
      <c r="E58" s="1">
        <v>8.4931506849315067E-2</v>
      </c>
      <c r="F58" s="1" t="str">
        <v>EUR</v>
      </c>
      <c r="G58" s="1">
        <v>0</v>
      </c>
      <c r="H58">
        <v>0</v>
      </c>
      <c r="I58">
        <v>0</v>
      </c>
    </row>
    <row r="59" spans="1:9" ht="24" customHeight="1" x14ac:dyDescent="0.25">
      <c r="A59" s="1" t="str">
        <v>2028-01-24</v>
      </c>
      <c r="B59" s="1" t="str">
        <v>Redemption</v>
      </c>
      <c r="C59" s="1">
        <v>120.24694472988813</v>
      </c>
      <c r="D59" s="1">
        <v>0</v>
      </c>
      <c r="E59" s="1">
        <v>0</v>
      </c>
      <c r="F59" s="1" t="str">
        <v>EUR</v>
      </c>
      <c r="G59" s="1">
        <v>0</v>
      </c>
      <c r="H59">
        <v>0</v>
      </c>
      <c r="I59">
        <v>0</v>
      </c>
    </row>
    <row r="60" spans="1:9" ht="24" customHeight="1" x14ac:dyDescent="0.25">
      <c r="A60" s="1" t="str">
        <v>2028-02-24</v>
      </c>
      <c r="B60" s="1" t="str">
        <v>FixedRateCoupon</v>
      </c>
      <c r="C60" s="1">
        <v>31.181425913951706</v>
      </c>
      <c r="D60" s="1">
        <v>0</v>
      </c>
      <c r="E60" s="1">
        <v>8.4931506849315067E-2</v>
      </c>
      <c r="F60" s="1" t="str">
        <v>EUR</v>
      </c>
      <c r="G60" s="1">
        <v>0</v>
      </c>
      <c r="H60">
        <v>0</v>
      </c>
      <c r="I60">
        <v>0</v>
      </c>
    </row>
    <row r="61" spans="1:9" ht="24" customHeight="1" x14ac:dyDescent="0.25">
      <c r="A61" s="1" t="str">
        <v>2028-02-24</v>
      </c>
      <c r="B61" s="1" t="str">
        <v>Redemption</v>
      </c>
      <c r="C61" s="1">
        <v>120.75758244038479</v>
      </c>
      <c r="D61" s="1">
        <v>0</v>
      </c>
      <c r="E61" s="1">
        <v>0</v>
      </c>
      <c r="F61" s="1" t="str">
        <v>EUR</v>
      </c>
      <c r="G61" s="1">
        <v>0</v>
      </c>
      <c r="H61">
        <v>0</v>
      </c>
      <c r="I61">
        <v>0</v>
      </c>
    </row>
    <row r="62" spans="1:9" ht="24" customHeight="1" x14ac:dyDescent="0.25">
      <c r="A62" s="1" t="str">
        <v>2028-03-24</v>
      </c>
      <c r="B62" s="1" t="str">
        <v>FixedRateCoupon</v>
      </c>
      <c r="C62" s="1">
        <v>28.689999113432037</v>
      </c>
      <c r="D62" s="1">
        <v>0</v>
      </c>
      <c r="E62" s="1">
        <v>7.9452054794520555E-2</v>
      </c>
      <c r="F62" s="1" t="str">
        <v>EUR</v>
      </c>
      <c r="G62" s="1">
        <v>0</v>
      </c>
      <c r="H62">
        <v>0</v>
      </c>
      <c r="I62">
        <v>0</v>
      </c>
    </row>
    <row r="63" spans="1:9" ht="24" customHeight="1" x14ac:dyDescent="0.25">
      <c r="A63" s="1" t="str">
        <v>2028-03-24</v>
      </c>
      <c r="B63" s="1" t="str">
        <v>Redemption</v>
      </c>
      <c r="C63" s="1">
        <v>123.24900924090525</v>
      </c>
      <c r="D63" s="1">
        <v>0</v>
      </c>
      <c r="E63" s="1">
        <v>0</v>
      </c>
      <c r="F63" s="1" t="str">
        <v>EUR</v>
      </c>
      <c r="G63" s="1">
        <v>0</v>
      </c>
      <c r="H63">
        <v>0</v>
      </c>
      <c r="I63">
        <v>0</v>
      </c>
    </row>
    <row r="64" spans="1:9" ht="24" customHeight="1" x14ac:dyDescent="0.25">
      <c r="A64" s="1" t="str">
        <v>2028-04-24</v>
      </c>
      <c r="B64" s="1" t="str">
        <v>FixedRateCoupon</v>
      </c>
      <c r="C64" s="1">
        <v>30.145233538318827</v>
      </c>
      <c r="D64" s="1">
        <v>0</v>
      </c>
      <c r="E64" s="1">
        <v>8.4931506849315067E-2</v>
      </c>
      <c r="F64" s="1" t="str">
        <v>EUR</v>
      </c>
      <c r="G64" s="1">
        <v>0</v>
      </c>
      <c r="H64">
        <v>0</v>
      </c>
      <c r="I64">
        <v>0</v>
      </c>
    </row>
    <row r="65" spans="1:9" ht="24" customHeight="1" x14ac:dyDescent="0.25">
      <c r="A65" s="1" t="str">
        <v>2028-04-24</v>
      </c>
      <c r="B65" s="1" t="str">
        <v>Redemption</v>
      </c>
      <c r="C65" s="1">
        <v>121.7937748160175</v>
      </c>
      <c r="D65" s="1">
        <v>0</v>
      </c>
      <c r="E65" s="1">
        <v>0</v>
      </c>
      <c r="F65" s="1" t="str">
        <v>EUR</v>
      </c>
      <c r="G65" s="1">
        <v>0</v>
      </c>
      <c r="H65">
        <v>0</v>
      </c>
      <c r="I65">
        <v>0</v>
      </c>
    </row>
    <row r="66" spans="1:9" ht="24" customHeight="1" x14ac:dyDescent="0.25">
      <c r="A66" s="1" t="str">
        <v>2028-05-24</v>
      </c>
      <c r="B66" s="1" t="str">
        <v>FixedRateCoupon</v>
      </c>
      <c r="C66" s="1">
        <v>28.672284287728356</v>
      </c>
      <c r="D66" s="1">
        <v>0</v>
      </c>
      <c r="E66" s="1">
        <v>8.2191780821917804E-2</v>
      </c>
      <c r="F66" s="1" t="str">
        <v>EUR</v>
      </c>
      <c r="G66" s="1">
        <v>0</v>
      </c>
      <c r="H66">
        <v>0</v>
      </c>
      <c r="I66">
        <v>0</v>
      </c>
    </row>
    <row r="67" spans="1:9" ht="24" customHeight="1" x14ac:dyDescent="0.25">
      <c r="A67" s="1" t="str">
        <v>2028-05-24</v>
      </c>
      <c r="B67" s="1" t="str">
        <v>Redemption</v>
      </c>
      <c r="C67" s="1">
        <v>123.26672406660964</v>
      </c>
      <c r="D67" s="1">
        <v>0</v>
      </c>
      <c r="E67" s="1">
        <v>0</v>
      </c>
      <c r="F67" s="1" t="str">
        <v>EUR</v>
      </c>
      <c r="G67" s="1">
        <v>0</v>
      </c>
      <c r="H67">
        <v>0</v>
      </c>
      <c r="I67">
        <v>0</v>
      </c>
    </row>
    <row r="68" spans="1:9" ht="24" customHeight="1" x14ac:dyDescent="0.25">
      <c r="A68" s="1" t="str">
        <v>2028-06-24</v>
      </c>
      <c r="B68" s="1" t="str">
        <v>FixedRateCoupon</v>
      </c>
      <c r="C68" s="1">
        <v>29.104565666351505</v>
      </c>
      <c r="D68" s="1">
        <v>0</v>
      </c>
      <c r="E68" s="1">
        <v>8.4931506849315067E-2</v>
      </c>
      <c r="F68" s="1" t="str">
        <v>EUR</v>
      </c>
      <c r="G68" s="1">
        <v>0</v>
      </c>
      <c r="H68">
        <v>0</v>
      </c>
      <c r="I68">
        <v>0</v>
      </c>
    </row>
    <row r="69" spans="1:9" ht="24" customHeight="1" x14ac:dyDescent="0.25">
      <c r="A69" s="1" t="str">
        <v>2028-06-24</v>
      </c>
      <c r="B69" s="1" t="str">
        <v>Redemption</v>
      </c>
      <c r="C69" s="1">
        <v>122.83444268798485</v>
      </c>
      <c r="D69" s="1">
        <v>0</v>
      </c>
      <c r="E69" s="1">
        <v>0</v>
      </c>
      <c r="F69" s="1" t="str">
        <v>EUR</v>
      </c>
      <c r="G69" s="1">
        <v>0</v>
      </c>
      <c r="H69">
        <v>0</v>
      </c>
      <c r="I69">
        <v>0</v>
      </c>
    </row>
    <row r="70" spans="1:9" ht="24" customHeight="1" x14ac:dyDescent="0.25">
      <c r="A70" s="1" t="str">
        <v>2028-07-24</v>
      </c>
      <c r="B70" s="1" t="str">
        <v>FixedRateCoupon</v>
      </c>
      <c r="C70" s="1">
        <v>27.660909629832759</v>
      </c>
      <c r="D70" s="1">
        <v>0</v>
      </c>
      <c r="E70" s="1">
        <v>8.2191780821917804E-2</v>
      </c>
      <c r="F70" s="1" t="str">
        <v>EUR</v>
      </c>
      <c r="G70" s="1">
        <v>0</v>
      </c>
      <c r="H70">
        <v>0</v>
      </c>
      <c r="I70">
        <v>0</v>
      </c>
    </row>
    <row r="71" spans="1:9" ht="24" customHeight="1" x14ac:dyDescent="0.25">
      <c r="A71" s="1" t="str">
        <v>2028-07-24</v>
      </c>
      <c r="B71" s="1" t="str">
        <v>Redemption</v>
      </c>
      <c r="C71" s="1">
        <v>124.27809872450507</v>
      </c>
      <c r="D71" s="1">
        <v>0</v>
      </c>
      <c r="E71" s="1">
        <v>0</v>
      </c>
      <c r="F71" s="1" t="str">
        <v>EUR</v>
      </c>
      <c r="G71" s="1">
        <v>0</v>
      </c>
      <c r="H71">
        <v>0</v>
      </c>
      <c r="I71">
        <v>0</v>
      </c>
    </row>
    <row r="72" spans="1:9" ht="24" customHeight="1" x14ac:dyDescent="0.25">
      <c r="A72" s="1" t="str">
        <v>2028-08-24</v>
      </c>
      <c r="B72" s="1" t="str">
        <v>FixedRateCoupon</v>
      </c>
      <c r="C72" s="1">
        <v>28.055183641175184</v>
      </c>
      <c r="D72" s="1">
        <v>0</v>
      </c>
      <c r="E72" s="1">
        <v>8.4931506849315067E-2</v>
      </c>
      <c r="F72" s="1" t="str">
        <v>EUR</v>
      </c>
      <c r="G72" s="1">
        <v>0</v>
      </c>
      <c r="H72">
        <v>0</v>
      </c>
      <c r="I72">
        <v>0</v>
      </c>
    </row>
    <row r="73" spans="1:9" ht="24" customHeight="1" x14ac:dyDescent="0.25">
      <c r="A73" s="1" t="str">
        <v>2028-08-24</v>
      </c>
      <c r="B73" s="1" t="str">
        <v>Redemption</v>
      </c>
      <c r="C73" s="1">
        <v>123.88382471316163</v>
      </c>
      <c r="D73" s="1">
        <v>0</v>
      </c>
      <c r="E73" s="1">
        <v>0</v>
      </c>
      <c r="F73" s="1" t="str">
        <v>EUR</v>
      </c>
      <c r="G73" s="1">
        <v>0</v>
      </c>
      <c r="H73">
        <v>0</v>
      </c>
      <c r="I73">
        <v>0</v>
      </c>
    </row>
    <row r="74" spans="1:9" ht="24" customHeight="1" x14ac:dyDescent="0.25">
      <c r="A74" s="1" t="str">
        <v>2028-09-24</v>
      </c>
      <c r="B74" s="1" t="str">
        <v>FixedRateCoupon</v>
      </c>
      <c r="C74" s="1">
        <v>27.529101645817917</v>
      </c>
      <c r="D74" s="1">
        <v>0</v>
      </c>
      <c r="E74" s="1">
        <v>8.4931506849315067E-2</v>
      </c>
      <c r="F74" s="1" t="str">
        <v>EUR</v>
      </c>
      <c r="G74" s="1">
        <v>0</v>
      </c>
      <c r="H74">
        <v>0</v>
      </c>
      <c r="I74">
        <v>0</v>
      </c>
    </row>
    <row r="75" spans="1:9" ht="24" customHeight="1" x14ac:dyDescent="0.25">
      <c r="A75" s="1" t="str">
        <v>2028-09-24</v>
      </c>
      <c r="B75" s="1" t="str">
        <v>Redemption</v>
      </c>
      <c r="C75" s="1">
        <v>124.40990670851897</v>
      </c>
      <c r="D75" s="1">
        <v>0</v>
      </c>
      <c r="E75" s="1">
        <v>0</v>
      </c>
      <c r="F75" s="1" t="str">
        <v>EUR</v>
      </c>
      <c r="G75" s="1">
        <v>0</v>
      </c>
      <c r="H75">
        <v>0</v>
      </c>
      <c r="I75">
        <v>0</v>
      </c>
    </row>
    <row r="76" spans="1:9" ht="24" customHeight="1" x14ac:dyDescent="0.25">
      <c r="A76" s="1" t="str">
        <v>2028-10-24</v>
      </c>
      <c r="B76" s="1" t="str">
        <v>FixedRateCoupon</v>
      </c>
      <c r="C76" s="1">
        <v>26.129792519642958</v>
      </c>
      <c r="D76" s="1">
        <v>0</v>
      </c>
      <c r="E76" s="1">
        <v>8.2191780821917804E-2</v>
      </c>
      <c r="F76" s="1" t="str">
        <v>EUR</v>
      </c>
      <c r="G76" s="1">
        <v>0</v>
      </c>
      <c r="H76">
        <v>0</v>
      </c>
      <c r="I76">
        <v>0</v>
      </c>
    </row>
    <row r="77" spans="1:9" ht="24" customHeight="1" x14ac:dyDescent="0.25">
      <c r="A77" s="1" t="str">
        <v>2028-10-24</v>
      </c>
      <c r="B77" s="1" t="str">
        <v>Redemption</v>
      </c>
      <c r="C77" s="1">
        <v>125.80921583469535</v>
      </c>
      <c r="D77" s="1">
        <v>0</v>
      </c>
      <c r="E77" s="1">
        <v>0</v>
      </c>
      <c r="F77" s="1" t="str">
        <v>EUR</v>
      </c>
      <c r="G77" s="1">
        <v>0</v>
      </c>
      <c r="H77">
        <v>0</v>
      </c>
      <c r="I77">
        <v>0</v>
      </c>
    </row>
    <row r="78" spans="1:9" ht="24" customHeight="1" x14ac:dyDescent="0.25">
      <c r="A78" s="1" t="str">
        <v>2028-11-24</v>
      </c>
      <c r="B78" s="1" t="str">
        <v>FixedRateCoupon</v>
      </c>
      <c r="C78" s="1">
        <v>26.46652728981249</v>
      </c>
      <c r="D78" s="1">
        <v>0</v>
      </c>
      <c r="E78" s="1">
        <v>8.4931506849315067E-2</v>
      </c>
      <c r="F78" s="1" t="str">
        <v>EUR</v>
      </c>
      <c r="G78" s="1">
        <v>0</v>
      </c>
      <c r="H78">
        <v>0</v>
      </c>
      <c r="I78">
        <v>0</v>
      </c>
    </row>
    <row r="79" spans="1:9" ht="24" customHeight="1" x14ac:dyDescent="0.25">
      <c r="A79" s="1" t="str">
        <v>2028-11-24</v>
      </c>
      <c r="B79" s="1" t="str">
        <v>Redemption</v>
      </c>
      <c r="C79" s="1">
        <v>125.47248106452389</v>
      </c>
      <c r="D79" s="1">
        <v>0</v>
      </c>
      <c r="E79" s="1">
        <v>0</v>
      </c>
      <c r="F79" s="1" t="str">
        <v>EUR</v>
      </c>
      <c r="G79" s="1">
        <v>0</v>
      </c>
      <c r="H79">
        <v>0</v>
      </c>
      <c r="I79">
        <v>0</v>
      </c>
    </row>
    <row r="80" spans="1:9" ht="24" customHeight="1" x14ac:dyDescent="0.25">
      <c r="A80" s="1" t="str">
        <v>2028-12-24</v>
      </c>
      <c r="B80" s="1" t="str">
        <v>FixedRateCoupon</v>
      </c>
      <c r="C80" s="1">
        <v>25.097128011837949</v>
      </c>
      <c r="D80" s="1">
        <v>0</v>
      </c>
      <c r="E80" s="1">
        <v>8.2191780821917804E-2</v>
      </c>
      <c r="F80" s="1" t="str">
        <v>EUR</v>
      </c>
      <c r="G80" s="1">
        <v>0</v>
      </c>
      <c r="H80">
        <v>0</v>
      </c>
      <c r="I80">
        <v>0</v>
      </c>
    </row>
    <row r="81" spans="1:9" ht="24" customHeight="1" x14ac:dyDescent="0.25">
      <c r="A81" s="1" t="str">
        <v>2028-12-24</v>
      </c>
      <c r="B81" s="1" t="str">
        <v>Redemption</v>
      </c>
      <c r="C81" s="1">
        <v>126.84188034250019</v>
      </c>
      <c r="D81" s="1">
        <v>0</v>
      </c>
      <c r="E81" s="1">
        <v>0</v>
      </c>
      <c r="F81" s="1" t="str">
        <v>EUR</v>
      </c>
      <c r="G81" s="1">
        <v>0</v>
      </c>
      <c r="H81">
        <v>0</v>
      </c>
      <c r="I81">
        <v>0</v>
      </c>
    </row>
    <row r="82" spans="1:9" ht="24" customHeight="1" x14ac:dyDescent="0.25">
      <c r="A82" s="1" t="str">
        <v>2029-01-24</v>
      </c>
      <c r="B82" s="1" t="str">
        <v>FixedRateCoupon</v>
      </c>
      <c r="C82" s="1">
        <v>25.395055344111427</v>
      </c>
      <c r="D82" s="1">
        <v>0</v>
      </c>
      <c r="E82" s="1">
        <v>8.4931506849315067E-2</v>
      </c>
      <c r="F82" s="1" t="str">
        <v>EUR</v>
      </c>
      <c r="G82" s="1">
        <v>0</v>
      </c>
      <c r="H82">
        <v>0</v>
      </c>
      <c r="I82">
        <v>0</v>
      </c>
    </row>
    <row r="83" spans="1:9" ht="24" customHeight="1" x14ac:dyDescent="0.25">
      <c r="A83" s="1" t="str">
        <v>2029-01-24</v>
      </c>
      <c r="B83" s="1" t="str">
        <v>Redemption</v>
      </c>
      <c r="C83" s="1">
        <v>126.54395301022578</v>
      </c>
      <c r="D83" s="1">
        <v>0</v>
      </c>
      <c r="E83" s="1">
        <v>0</v>
      </c>
      <c r="F83" s="1" t="str">
        <v>EUR</v>
      </c>
      <c r="G83" s="1">
        <v>0</v>
      </c>
      <c r="H83">
        <v>0</v>
      </c>
      <c r="I83">
        <v>0</v>
      </c>
    </row>
    <row r="84" spans="1:9" ht="24" customHeight="1" x14ac:dyDescent="0.25">
      <c r="A84" s="1" t="str">
        <v>2029-02-24</v>
      </c>
      <c r="B84" s="1" t="str">
        <v>FixedRateCoupon</v>
      </c>
      <c r="C84" s="1">
        <v>24.857676913520059</v>
      </c>
      <c r="D84" s="1">
        <v>0</v>
      </c>
      <c r="E84" s="1">
        <v>8.4931506849315067E-2</v>
      </c>
      <c r="F84" s="1" t="str">
        <v>EUR</v>
      </c>
      <c r="G84" s="1">
        <v>0</v>
      </c>
      <c r="H84">
        <v>0</v>
      </c>
      <c r="I84">
        <v>0</v>
      </c>
    </row>
    <row r="85" spans="1:9" ht="24" customHeight="1" x14ac:dyDescent="0.25">
      <c r="A85" s="1" t="str">
        <v>2029-02-24</v>
      </c>
      <c r="B85" s="1" t="str">
        <v>Redemption</v>
      </c>
      <c r="C85" s="1">
        <v>127.08133144081694</v>
      </c>
      <c r="D85" s="1">
        <v>0</v>
      </c>
      <c r="E85" s="1">
        <v>0</v>
      </c>
      <c r="F85" s="1" t="str">
        <v>EUR</v>
      </c>
      <c r="G85" s="1">
        <v>0</v>
      </c>
      <c r="H85">
        <v>0</v>
      </c>
      <c r="I85">
        <v>0</v>
      </c>
    </row>
    <row r="86" spans="1:9" ht="24" customHeight="1" x14ac:dyDescent="0.25">
      <c r="A86" s="1" t="str">
        <v>2029-03-24</v>
      </c>
      <c r="B86" s="1" t="str">
        <v>FixedRateCoupon</v>
      </c>
      <c r="C86" s="1">
        <v>21.96466003284521</v>
      </c>
      <c r="D86" s="1">
        <v>0</v>
      </c>
      <c r="E86" s="1">
        <v>7.6712328767123292E-2</v>
      </c>
      <c r="F86" s="1" t="str">
        <v>EUR</v>
      </c>
      <c r="G86" s="1">
        <v>0</v>
      </c>
      <c r="H86">
        <v>0</v>
      </c>
      <c r="I86">
        <v>0</v>
      </c>
    </row>
    <row r="87" spans="1:9" ht="24" customHeight="1" x14ac:dyDescent="0.25">
      <c r="A87" s="1" t="str">
        <v>2029-03-24</v>
      </c>
      <c r="B87" s="1" t="str">
        <v>Redemption</v>
      </c>
      <c r="C87" s="1">
        <v>129.97434832149247</v>
      </c>
      <c r="D87" s="1">
        <v>0</v>
      </c>
      <c r="E87" s="1">
        <v>0</v>
      </c>
      <c r="F87" s="1" t="str">
        <v>EUR</v>
      </c>
      <c r="G87" s="1">
        <v>0</v>
      </c>
      <c r="H87">
        <v>0</v>
      </c>
      <c r="I87">
        <v>0</v>
      </c>
    </row>
    <row r="88" spans="1:9" ht="24" customHeight="1" x14ac:dyDescent="0.25">
      <c r="A88" s="1" t="str">
        <v>2029-04-24</v>
      </c>
      <c r="B88" s="1" t="str">
        <v>FixedRateCoupon</v>
      </c>
      <c r="C88" s="1">
        <v>23.76607060220066</v>
      </c>
      <c r="D88" s="1">
        <v>0</v>
      </c>
      <c r="E88" s="1">
        <v>8.4931506849315067E-2</v>
      </c>
      <c r="F88" s="1" t="str">
        <v>EUR</v>
      </c>
      <c r="G88" s="1">
        <v>0</v>
      </c>
      <c r="H88">
        <v>0</v>
      </c>
      <c r="I88">
        <v>0</v>
      </c>
    </row>
    <row r="89" spans="1:9" ht="24" customHeight="1" x14ac:dyDescent="0.25">
      <c r="A89" s="1" t="str">
        <v>2029-04-24</v>
      </c>
      <c r="B89" s="1" t="str">
        <v>Redemption</v>
      </c>
      <c r="C89" s="1">
        <v>128.17293775213602</v>
      </c>
      <c r="D89" s="1">
        <v>0</v>
      </c>
      <c r="E89" s="1">
        <v>0</v>
      </c>
      <c r="F89" s="1" t="str">
        <v>EUR</v>
      </c>
      <c r="G89" s="1">
        <v>0</v>
      </c>
      <c r="H89">
        <v>0</v>
      </c>
      <c r="I89">
        <v>0</v>
      </c>
    </row>
    <row r="90" spans="1:9" ht="24" customHeight="1" x14ac:dyDescent="0.25">
      <c r="A90" s="1" t="str">
        <v>2029-05-24</v>
      </c>
      <c r="B90" s="1" t="str">
        <v>FixedRateCoupon</v>
      </c>
      <c r="C90" s="1">
        <v>22.472685063068752</v>
      </c>
      <c r="D90" s="1">
        <v>0</v>
      </c>
      <c r="E90" s="1">
        <v>8.2191780821917804E-2</v>
      </c>
      <c r="F90" s="1" t="str">
        <v>EUR</v>
      </c>
      <c r="G90" s="1">
        <v>0</v>
      </c>
      <c r="H90">
        <v>0</v>
      </c>
      <c r="I90">
        <v>0</v>
      </c>
    </row>
    <row r="91" spans="1:9" ht="24" customHeight="1" x14ac:dyDescent="0.25">
      <c r="A91" s="1" t="str">
        <v>2029-05-24</v>
      </c>
      <c r="B91" s="1" t="str">
        <v>Redemption</v>
      </c>
      <c r="C91" s="1">
        <v>129.46632329126896</v>
      </c>
      <c r="D91" s="1">
        <v>0</v>
      </c>
      <c r="E91" s="1">
        <v>0</v>
      </c>
      <c r="F91" s="1" t="str">
        <v>EUR</v>
      </c>
      <c r="G91" s="1">
        <v>0</v>
      </c>
      <c r="H91">
        <v>0</v>
      </c>
      <c r="I91">
        <v>0</v>
      </c>
    </row>
    <row r="92" spans="1:9" ht="24" customHeight="1" x14ac:dyDescent="0.25">
      <c r="A92" s="1" t="str">
        <v>2029-06-24</v>
      </c>
      <c r="B92" s="1" t="str">
        <v>FixedRateCoupon</v>
      </c>
      <c r="C92" s="1">
        <v>22.671986069002642</v>
      </c>
      <c r="D92" s="1">
        <v>0</v>
      </c>
      <c r="E92" s="1">
        <v>8.4931506849315067E-2</v>
      </c>
      <c r="F92" s="1" t="str">
        <v>EUR</v>
      </c>
      <c r="G92" s="1">
        <v>0</v>
      </c>
      <c r="H92">
        <v>0</v>
      </c>
      <c r="I92">
        <v>0</v>
      </c>
    </row>
    <row r="93" spans="1:9" ht="24" customHeight="1" x14ac:dyDescent="0.25">
      <c r="A93" s="1" t="str">
        <v>2029-06-24</v>
      </c>
      <c r="B93" s="1" t="str">
        <v>Redemption</v>
      </c>
      <c r="C93" s="1">
        <v>129.26702228533395</v>
      </c>
      <c r="D93" s="1">
        <v>0</v>
      </c>
      <c r="E93" s="1">
        <v>0</v>
      </c>
      <c r="F93" s="1" t="str">
        <v>EUR</v>
      </c>
      <c r="G93" s="1">
        <v>0</v>
      </c>
      <c r="H93">
        <v>0</v>
      </c>
      <c r="I93">
        <v>0</v>
      </c>
    </row>
    <row r="94" spans="1:9" ht="24" customHeight="1" x14ac:dyDescent="0.25">
      <c r="A94" s="1" t="str">
        <v>2029-07-24</v>
      </c>
      <c r="B94" s="1" t="str">
        <v>FixedRateCoupon</v>
      </c>
      <c r="C94" s="1">
        <v>21.409397341521068</v>
      </c>
      <c r="D94" s="1">
        <v>0</v>
      </c>
      <c r="E94" s="1">
        <v>8.2191780821917804E-2</v>
      </c>
      <c r="F94" s="1" t="str">
        <v>EUR</v>
      </c>
      <c r="G94" s="1">
        <v>0</v>
      </c>
      <c r="H94">
        <v>0</v>
      </c>
      <c r="I94">
        <v>0</v>
      </c>
    </row>
    <row r="95" spans="1:9" ht="24" customHeight="1" x14ac:dyDescent="0.25">
      <c r="A95" s="1" t="str">
        <v>2029-07-24</v>
      </c>
      <c r="B95" s="1" t="str">
        <v>Redemption</v>
      </c>
      <c r="C95" s="1">
        <v>130.52961101281653</v>
      </c>
      <c r="D95" s="1">
        <v>0</v>
      </c>
      <c r="E95" s="1">
        <v>0</v>
      </c>
      <c r="F95" s="1" t="str">
        <v>EUR</v>
      </c>
      <c r="G95" s="1">
        <v>0</v>
      </c>
      <c r="H95">
        <v>0</v>
      </c>
      <c r="I95">
        <v>0</v>
      </c>
    </row>
    <row r="96" spans="1:9" ht="24" customHeight="1" x14ac:dyDescent="0.25">
      <c r="A96" s="1" t="str">
        <v>2029-08-24</v>
      </c>
      <c r="B96" s="1" t="str">
        <v>FixedRateCoupon</v>
      </c>
      <c r="C96" s="1">
        <v>21.568740091983098</v>
      </c>
      <c r="D96" s="1">
        <v>0</v>
      </c>
      <c r="E96" s="1">
        <v>8.4931506849315067E-2</v>
      </c>
      <c r="F96" s="1" t="str">
        <v>EUR</v>
      </c>
      <c r="G96" s="1">
        <v>0</v>
      </c>
      <c r="H96">
        <v>0</v>
      </c>
      <c r="I96">
        <v>0</v>
      </c>
    </row>
    <row r="97" spans="1:9" ht="24" customHeight="1" x14ac:dyDescent="0.25">
      <c r="A97" s="1" t="str">
        <v>2029-08-24</v>
      </c>
      <c r="B97" s="1" t="str">
        <v>Redemption</v>
      </c>
      <c r="C97" s="1">
        <v>130.37026826235342</v>
      </c>
      <c r="D97" s="1">
        <v>0</v>
      </c>
      <c r="E97" s="1">
        <v>0</v>
      </c>
      <c r="F97" s="1" t="str">
        <v>EUR</v>
      </c>
      <c r="G97" s="1">
        <v>0</v>
      </c>
      <c r="H97">
        <v>0</v>
      </c>
      <c r="I97">
        <v>0</v>
      </c>
    </row>
    <row r="98" spans="1:9" ht="24" customHeight="1" x14ac:dyDescent="0.25">
      <c r="A98" s="1" t="str">
        <v>2029-09-24</v>
      </c>
      <c r="B98" s="1" t="str">
        <v>FixedRateCoupon</v>
      </c>
      <c r="C98" s="1">
        <v>21.015112925389545</v>
      </c>
      <c r="D98" s="1">
        <v>0</v>
      </c>
      <c r="E98" s="1">
        <v>8.4931506849315067E-2</v>
      </c>
      <c r="F98" s="1" t="str">
        <v>EUR</v>
      </c>
      <c r="G98" s="1">
        <v>0</v>
      </c>
      <c r="H98">
        <v>0</v>
      </c>
      <c r="I98">
        <v>0</v>
      </c>
    </row>
    <row r="99" spans="1:9" ht="24" customHeight="1" x14ac:dyDescent="0.25">
      <c r="A99" s="1" t="str">
        <v>2029-09-24</v>
      </c>
      <c r="B99" s="1" t="str">
        <v>Redemption</v>
      </c>
      <c r="C99" s="1">
        <v>130.92389542894762</v>
      </c>
      <c r="D99" s="1">
        <v>0</v>
      </c>
      <c r="E99" s="1">
        <v>0</v>
      </c>
      <c r="F99" s="1" t="str">
        <v>EUR</v>
      </c>
      <c r="G99" s="1">
        <v>0</v>
      </c>
      <c r="H99">
        <v>0</v>
      </c>
      <c r="I99">
        <v>0</v>
      </c>
    </row>
    <row r="100" spans="1:9" ht="24" customHeight="1" x14ac:dyDescent="0.25">
      <c r="A100" s="1" t="str">
        <v>2029-10-24</v>
      </c>
      <c r="B100" s="1" t="str">
        <v>FixedRateCoupon</v>
      </c>
      <c r="C100" s="1">
        <v>19.799162650956202</v>
      </c>
      <c r="D100" s="1">
        <v>0</v>
      </c>
      <c r="E100" s="1">
        <v>8.2191780821917804E-2</v>
      </c>
      <c r="F100" s="1" t="str">
        <v>EUR</v>
      </c>
      <c r="G100" s="1">
        <v>0</v>
      </c>
      <c r="H100">
        <v>0</v>
      </c>
      <c r="I100">
        <v>0</v>
      </c>
    </row>
    <row r="101" spans="1:9" ht="24" customHeight="1" x14ac:dyDescent="0.25">
      <c r="A101" s="1" t="str">
        <v>2029-10-24</v>
      </c>
      <c r="B101" s="1" t="str">
        <v>Redemption</v>
      </c>
      <c r="C101" s="1">
        <v>132.13984570338198</v>
      </c>
      <c r="D101" s="1">
        <v>0</v>
      </c>
      <c r="E101" s="1">
        <v>0</v>
      </c>
      <c r="F101" s="1" t="str">
        <v>EUR</v>
      </c>
      <c r="G101" s="1">
        <v>0</v>
      </c>
      <c r="H101">
        <v>0</v>
      </c>
      <c r="I101">
        <v>0</v>
      </c>
    </row>
    <row r="102" spans="1:9" ht="24" customHeight="1" x14ac:dyDescent="0.25">
      <c r="A102" s="1" t="str">
        <v>2029-11-24</v>
      </c>
      <c r="B102" s="1" t="str">
        <v>FixedRateCoupon</v>
      </c>
      <c r="C102" s="1">
        <v>19.897992928800196</v>
      </c>
      <c r="D102" s="1">
        <v>0</v>
      </c>
      <c r="E102" s="1">
        <v>8.4931506849315067E-2</v>
      </c>
      <c r="F102" s="1" t="str">
        <v>EUR</v>
      </c>
      <c r="G102" s="1">
        <v>0</v>
      </c>
      <c r="H102">
        <v>0</v>
      </c>
      <c r="I102">
        <v>0</v>
      </c>
    </row>
    <row r="103" spans="1:9" ht="24" customHeight="1" x14ac:dyDescent="0.25">
      <c r="A103" s="1" t="str">
        <v>2029-11-24</v>
      </c>
      <c r="B103" s="1" t="str">
        <v>Redemption</v>
      </c>
      <c r="C103" s="1">
        <v>132.0410154255369</v>
      </c>
      <c r="D103" s="1">
        <v>0</v>
      </c>
      <c r="E103" s="1">
        <v>0</v>
      </c>
      <c r="F103" s="1" t="str">
        <v>EUR</v>
      </c>
      <c r="G103" s="1">
        <v>0</v>
      </c>
      <c r="H103">
        <v>0</v>
      </c>
      <c r="I103">
        <v>0</v>
      </c>
    </row>
    <row r="104" spans="1:9" ht="24" customHeight="1" x14ac:dyDescent="0.25">
      <c r="A104" s="1" t="str">
        <v>2029-12-24</v>
      </c>
      <c r="B104" s="1" t="str">
        <v>FixedRateCoupon</v>
      </c>
      <c r="C104" s="1">
        <v>18.713487879193519</v>
      </c>
      <c r="D104" s="1">
        <v>0</v>
      </c>
      <c r="E104" s="1">
        <v>8.2191780821917804E-2</v>
      </c>
      <c r="F104" s="1" t="str">
        <v>EUR</v>
      </c>
      <c r="G104" s="1">
        <v>0</v>
      </c>
      <c r="H104">
        <v>0</v>
      </c>
      <c r="I104">
        <v>0</v>
      </c>
    </row>
    <row r="105" spans="1:9" ht="24" customHeight="1" x14ac:dyDescent="0.25">
      <c r="A105" s="1" t="str">
        <v>2029-12-24</v>
      </c>
      <c r="B105" s="1" t="str">
        <v>Redemption</v>
      </c>
      <c r="C105" s="1">
        <v>133.22552047514455</v>
      </c>
      <c r="D105" s="1">
        <v>0</v>
      </c>
      <c r="E105" s="1">
        <v>0</v>
      </c>
      <c r="F105" s="1" t="str">
        <v>EUR</v>
      </c>
      <c r="G105" s="1">
        <v>0</v>
      </c>
      <c r="H105">
        <v>0</v>
      </c>
      <c r="I105">
        <v>0</v>
      </c>
    </row>
    <row r="106" spans="1:9" ht="24" customHeight="1" x14ac:dyDescent="0.25">
      <c r="A106" s="1" t="str">
        <v>2030-01-24</v>
      </c>
      <c r="B106" s="1" t="str">
        <v>FixedRateCoupon</v>
      </c>
      <c r="C106" s="1">
        <v>18.771518598263054</v>
      </c>
      <c r="D106" s="1">
        <v>0</v>
      </c>
      <c r="E106" s="1">
        <v>8.4931506849315067E-2</v>
      </c>
      <c r="F106" s="1" t="str">
        <v>EUR</v>
      </c>
      <c r="G106" s="1">
        <v>0</v>
      </c>
      <c r="H106">
        <v>0</v>
      </c>
      <c r="I106">
        <v>0</v>
      </c>
    </row>
    <row r="107" spans="1:9" ht="24" customHeight="1" x14ac:dyDescent="0.25">
      <c r="A107" s="1" t="str">
        <v>2030-01-24</v>
      </c>
      <c r="B107" s="1" t="str">
        <v>Redemption</v>
      </c>
      <c r="C107" s="1">
        <v>133.16748975607425</v>
      </c>
      <c r="D107" s="1">
        <v>0</v>
      </c>
      <c r="E107" s="1">
        <v>0</v>
      </c>
      <c r="F107" s="1" t="str">
        <v>EUR</v>
      </c>
      <c r="G107" s="1">
        <v>0</v>
      </c>
      <c r="H107">
        <v>0</v>
      </c>
      <c r="I107">
        <v>0</v>
      </c>
    </row>
    <row r="108" spans="1:9" ht="24" customHeight="1" x14ac:dyDescent="0.25">
      <c r="A108" s="1" t="str">
        <v>2030-02-24</v>
      </c>
      <c r="B108" s="1" t="str">
        <v>FixedRateCoupon</v>
      </c>
      <c r="C108" s="1">
        <v>18.206012819846851</v>
      </c>
      <c r="D108" s="1">
        <v>0</v>
      </c>
      <c r="E108" s="1">
        <v>8.4931506849315067E-2</v>
      </c>
      <c r="F108" s="1" t="str">
        <v>EUR</v>
      </c>
      <c r="G108" s="1">
        <v>0</v>
      </c>
      <c r="H108">
        <v>0</v>
      </c>
      <c r="I108">
        <v>0</v>
      </c>
    </row>
    <row r="109" spans="1:9" ht="24" customHeight="1" x14ac:dyDescent="0.25">
      <c r="A109" s="1" t="str">
        <v>2030-02-24</v>
      </c>
      <c r="B109" s="1" t="str">
        <v>Redemption</v>
      </c>
      <c r="C109" s="1">
        <v>133.73299553449033</v>
      </c>
      <c r="D109" s="1">
        <v>0</v>
      </c>
      <c r="E109" s="1">
        <v>0</v>
      </c>
      <c r="F109" s="1" t="str">
        <v>EUR</v>
      </c>
      <c r="G109" s="1">
        <v>0</v>
      </c>
      <c r="H109">
        <v>0</v>
      </c>
      <c r="I109">
        <v>0</v>
      </c>
    </row>
    <row r="110" spans="1:9" ht="24" customHeight="1" x14ac:dyDescent="0.25">
      <c r="A110" s="1" t="str">
        <v>2030-03-24</v>
      </c>
      <c r="B110" s="1" t="str">
        <v>FixedRateCoupon</v>
      </c>
      <c r="C110" s="1">
        <v>15.931192135451873</v>
      </c>
      <c r="D110" s="1">
        <v>0</v>
      </c>
      <c r="E110" s="1">
        <v>7.6712328767123292E-2</v>
      </c>
      <c r="F110" s="1" t="str">
        <v>EUR</v>
      </c>
      <c r="G110" s="1">
        <v>0</v>
      </c>
      <c r="H110">
        <v>0</v>
      </c>
      <c r="I110">
        <v>0</v>
      </c>
    </row>
    <row r="111" spans="1:9" ht="24" customHeight="1" x14ac:dyDescent="0.25">
      <c r="A111" s="1" t="str">
        <v>2030-03-24</v>
      </c>
      <c r="B111" s="1" t="str">
        <v>Redemption</v>
      </c>
      <c r="C111" s="1">
        <v>136.00781621888564</v>
      </c>
      <c r="D111" s="1">
        <v>0</v>
      </c>
      <c r="E111" s="1">
        <v>0</v>
      </c>
      <c r="F111" s="1" t="str">
        <v>EUR</v>
      </c>
      <c r="G111" s="1">
        <v>0</v>
      </c>
      <c r="H111">
        <v>0</v>
      </c>
      <c r="I111">
        <v>0</v>
      </c>
    </row>
    <row r="112" spans="1:9" ht="24" customHeight="1" x14ac:dyDescent="0.25">
      <c r="A112" s="1" t="str">
        <v>2030-04-24</v>
      </c>
      <c r="B112" s="1" t="str">
        <v>FixedRateCoupon</v>
      </c>
      <c r="C112" s="1">
        <v>17.060538139798268</v>
      </c>
      <c r="D112" s="1">
        <v>0</v>
      </c>
      <c r="E112" s="1">
        <v>8.4931506849315067E-2</v>
      </c>
      <c r="F112" s="1" t="str">
        <v>EUR</v>
      </c>
      <c r="G112" s="1">
        <v>0</v>
      </c>
      <c r="H112">
        <v>0</v>
      </c>
      <c r="I112">
        <v>0</v>
      </c>
    </row>
    <row r="113" spans="1:9" ht="24" customHeight="1" x14ac:dyDescent="0.25">
      <c r="A113" s="1" t="str">
        <v>2030-04-24</v>
      </c>
      <c r="B113" s="1" t="str">
        <v>Redemption</v>
      </c>
      <c r="C113" s="1">
        <v>134.87847021453854</v>
      </c>
      <c r="D113" s="1">
        <v>0</v>
      </c>
      <c r="E113" s="1">
        <v>0</v>
      </c>
      <c r="F113" s="1" t="str">
        <v>EUR</v>
      </c>
      <c r="G113" s="1">
        <v>0</v>
      </c>
      <c r="H113">
        <v>0</v>
      </c>
      <c r="I113">
        <v>0</v>
      </c>
    </row>
    <row r="114" spans="1:9" ht="24" customHeight="1" x14ac:dyDescent="0.25">
      <c r="A114" s="1" t="str">
        <v>2030-05-24</v>
      </c>
      <c r="B114" s="1" t="str">
        <v>FixedRateCoupon</v>
      </c>
      <c r="C114" s="1">
        <v>15.95590311673133</v>
      </c>
      <c r="D114" s="1">
        <v>0</v>
      </c>
      <c r="E114" s="1">
        <v>8.2191780821917804E-2</v>
      </c>
      <c r="F114" s="1" t="str">
        <v>EUR</v>
      </c>
      <c r="G114" s="1">
        <v>0</v>
      </c>
      <c r="H114">
        <v>0</v>
      </c>
      <c r="I114">
        <v>0</v>
      </c>
    </row>
    <row r="115" spans="1:9" ht="24" customHeight="1" x14ac:dyDescent="0.25">
      <c r="A115" s="1" t="str">
        <v>2030-05-24</v>
      </c>
      <c r="B115" s="1" t="str">
        <v>Redemption</v>
      </c>
      <c r="C115" s="1">
        <v>135.9831052376062</v>
      </c>
      <c r="D115" s="1">
        <v>0</v>
      </c>
      <c r="E115" s="1">
        <v>0</v>
      </c>
      <c r="F115" s="1" t="str">
        <v>EUR</v>
      </c>
      <c r="G115" s="1">
        <v>0</v>
      </c>
      <c r="H115">
        <v>0</v>
      </c>
      <c r="I115">
        <v>0</v>
      </c>
    </row>
    <row r="116" spans="1:9" ht="24" customHeight="1" x14ac:dyDescent="0.25">
      <c r="A116" s="1" t="str">
        <v>2030-06-24</v>
      </c>
      <c r="B116" s="1" t="str">
        <v>FixedRateCoupon</v>
      </c>
      <c r="C116" s="1">
        <v>15.910304052261763</v>
      </c>
      <c r="D116" s="1">
        <v>0</v>
      </c>
      <c r="E116" s="1">
        <v>8.4931506849315067E-2</v>
      </c>
      <c r="F116" s="1" t="str">
        <v>EUR</v>
      </c>
      <c r="G116" s="1">
        <v>0</v>
      </c>
      <c r="H116">
        <v>0</v>
      </c>
      <c r="I116">
        <v>0</v>
      </c>
    </row>
    <row r="117" spans="1:9" ht="24" customHeight="1" x14ac:dyDescent="0.25">
      <c r="A117" s="1" t="str">
        <v>2030-06-24</v>
      </c>
      <c r="B117" s="1" t="str">
        <v>Redemption</v>
      </c>
      <c r="C117" s="1">
        <v>136.02870430207531</v>
      </c>
      <c r="D117" s="1">
        <v>0</v>
      </c>
      <c r="E117" s="1">
        <v>0</v>
      </c>
      <c r="F117" s="1" t="str">
        <v>EUR</v>
      </c>
      <c r="G117" s="1">
        <v>0</v>
      </c>
      <c r="H117">
        <v>0</v>
      </c>
      <c r="I117">
        <v>0</v>
      </c>
    </row>
    <row r="118" spans="1:9" ht="24" customHeight="1" x14ac:dyDescent="0.25">
      <c r="A118" s="1" t="str">
        <v>2030-07-24</v>
      </c>
      <c r="B118" s="1" t="str">
        <v>FixedRateCoupon</v>
      </c>
      <c r="C118" s="1">
        <v>14.838046365198393</v>
      </c>
      <c r="D118" s="1">
        <v>0</v>
      </c>
      <c r="E118" s="1">
        <v>8.2191780821917804E-2</v>
      </c>
      <c r="F118" s="1" t="str">
        <v>EUR</v>
      </c>
      <c r="G118" s="1">
        <v>0</v>
      </c>
      <c r="H118">
        <v>0</v>
      </c>
      <c r="I118">
        <v>0</v>
      </c>
    </row>
    <row r="119" spans="1:9" ht="24" customHeight="1" x14ac:dyDescent="0.25">
      <c r="A119" s="1" t="str">
        <v>2030-07-24</v>
      </c>
      <c r="B119" s="1" t="str">
        <v>Redemption</v>
      </c>
      <c r="C119" s="1">
        <v>137.10096198913925</v>
      </c>
      <c r="D119" s="1">
        <v>0</v>
      </c>
      <c r="E119" s="1">
        <v>0</v>
      </c>
      <c r="F119" s="1" t="str">
        <v>EUR</v>
      </c>
      <c r="G119" s="1">
        <v>0</v>
      </c>
      <c r="H119">
        <v>0</v>
      </c>
      <c r="I119">
        <v>0</v>
      </c>
    </row>
    <row r="120" spans="1:9" ht="24" customHeight="1" x14ac:dyDescent="0.25">
      <c r="A120" s="1" t="str">
        <v>2030-08-24</v>
      </c>
      <c r="B120" s="1" t="str">
        <v>FixedRateCoupon</v>
      </c>
      <c r="C120" s="1">
        <v>14.750438346093592</v>
      </c>
      <c r="D120" s="1">
        <v>0</v>
      </c>
      <c r="E120" s="1">
        <v>8.4931506849315067E-2</v>
      </c>
      <c r="F120" s="1" t="str">
        <v>EUR</v>
      </c>
      <c r="G120" s="1">
        <v>0</v>
      </c>
      <c r="H120">
        <v>0</v>
      </c>
      <c r="I120">
        <v>0</v>
      </c>
    </row>
    <row r="121" spans="1:9" ht="24" customHeight="1" x14ac:dyDescent="0.25">
      <c r="A121" s="1" t="str">
        <v>2030-08-24</v>
      </c>
      <c r="B121" s="1" t="str">
        <v>Redemption</v>
      </c>
      <c r="C121" s="1">
        <v>137.18857000824346</v>
      </c>
      <c r="D121" s="1">
        <v>0</v>
      </c>
      <c r="E121" s="1">
        <v>0</v>
      </c>
      <c r="F121" s="1" t="str">
        <v>EUR</v>
      </c>
      <c r="G121" s="1">
        <v>0</v>
      </c>
      <c r="H121">
        <v>0</v>
      </c>
      <c r="I121">
        <v>0</v>
      </c>
    </row>
    <row r="122" spans="1:9" ht="24" customHeight="1" x14ac:dyDescent="0.25">
      <c r="A122" s="1" t="str">
        <v>2030-09-24</v>
      </c>
      <c r="B122" s="1" t="str">
        <v>FixedRateCoupon</v>
      </c>
      <c r="C122" s="1">
        <v>14.167856747428448</v>
      </c>
      <c r="D122" s="1">
        <v>0</v>
      </c>
      <c r="E122" s="1">
        <v>8.4931506849315067E-2</v>
      </c>
      <c r="F122" s="1" t="str">
        <v>EUR</v>
      </c>
      <c r="G122" s="1">
        <v>0</v>
      </c>
      <c r="H122">
        <v>0</v>
      </c>
      <c r="I122">
        <v>0</v>
      </c>
    </row>
    <row r="123" spans="1:9" ht="24" customHeight="1" x14ac:dyDescent="0.25">
      <c r="A123" s="1" t="str">
        <v>2030-09-24</v>
      </c>
      <c r="B123" s="1" t="str">
        <v>Redemption</v>
      </c>
      <c r="C123" s="1">
        <v>137.77115160690846</v>
      </c>
      <c r="D123" s="1">
        <v>0</v>
      </c>
      <c r="E123" s="1">
        <v>0</v>
      </c>
      <c r="F123" s="1" t="str">
        <v>EUR</v>
      </c>
      <c r="G123" s="1">
        <v>0</v>
      </c>
      <c r="H123">
        <v>0</v>
      </c>
      <c r="I123">
        <v>0</v>
      </c>
    </row>
    <row r="124" spans="1:9" ht="24" customHeight="1" x14ac:dyDescent="0.25">
      <c r="A124" s="1" t="str">
        <v>2030-10-24</v>
      </c>
      <c r="B124" s="1" t="str">
        <v>FixedRateCoupon</v>
      </c>
      <c r="C124" s="1">
        <v>13.144646295591716</v>
      </c>
      <c r="D124" s="1">
        <v>0</v>
      </c>
      <c r="E124" s="1">
        <v>8.2191780821917804E-2</v>
      </c>
      <c r="F124" s="1" t="str">
        <v>EUR</v>
      </c>
      <c r="G124" s="1">
        <v>0</v>
      </c>
      <c r="H124">
        <v>0</v>
      </c>
      <c r="I124">
        <v>0</v>
      </c>
    </row>
    <row r="125" spans="1:9" ht="24" customHeight="1" x14ac:dyDescent="0.25">
      <c r="A125" s="1" t="str">
        <v>2030-10-24</v>
      </c>
      <c r="B125" s="1" t="str">
        <v>Redemption</v>
      </c>
      <c r="C125" s="1">
        <v>138.79436205874617</v>
      </c>
      <c r="D125" s="1">
        <v>0</v>
      </c>
      <c r="E125" s="1">
        <v>0</v>
      </c>
      <c r="F125" s="1" t="str">
        <v>EUR</v>
      </c>
      <c r="G125" s="1">
        <v>0</v>
      </c>
      <c r="H125">
        <v>0</v>
      </c>
      <c r="I125">
        <v>0</v>
      </c>
    </row>
    <row r="126" spans="1:9" ht="24" customHeight="1" x14ac:dyDescent="0.25">
      <c r="A126" s="1" t="str">
        <v>2030-11-24</v>
      </c>
      <c r="B126" s="1" t="str">
        <v>FixedRateCoupon</v>
      </c>
      <c r="C126" s="1">
        <v>12.993400456519504</v>
      </c>
      <c r="D126" s="1">
        <v>0</v>
      </c>
      <c r="E126" s="1">
        <v>8.4931506849315067E-2</v>
      </c>
      <c r="F126" s="1" t="str">
        <v>EUR</v>
      </c>
      <c r="G126" s="1">
        <v>0</v>
      </c>
      <c r="H126">
        <v>0</v>
      </c>
      <c r="I126">
        <v>0</v>
      </c>
    </row>
    <row r="127" spans="1:9" ht="24" customHeight="1" x14ac:dyDescent="0.25">
      <c r="A127" s="1" t="str">
        <v>2030-11-24</v>
      </c>
      <c r="B127" s="1" t="str">
        <v>Redemption</v>
      </c>
      <c r="C127" s="1">
        <v>138.94560789781781</v>
      </c>
      <c r="D127" s="1">
        <v>0</v>
      </c>
      <c r="E127" s="1">
        <v>0</v>
      </c>
      <c r="F127" s="1" t="str">
        <v>EUR</v>
      </c>
      <c r="G127" s="1">
        <v>0</v>
      </c>
      <c r="H127">
        <v>0</v>
      </c>
      <c r="I127">
        <v>0</v>
      </c>
    </row>
    <row r="128" spans="1:9" ht="24" customHeight="1" x14ac:dyDescent="0.25">
      <c r="A128" s="1" t="str">
        <v>2030-12-24</v>
      </c>
      <c r="B128" s="1" t="str">
        <v>FixedRateCoupon</v>
      </c>
      <c r="C128" s="1">
        <v>12.003249158783918</v>
      </c>
      <c r="D128" s="1">
        <v>0</v>
      </c>
      <c r="E128" s="1">
        <v>8.2191780821917804E-2</v>
      </c>
      <c r="F128" s="1" t="str">
        <v>EUR</v>
      </c>
      <c r="G128" s="1">
        <v>0</v>
      </c>
      <c r="H128">
        <v>0</v>
      </c>
      <c r="I128">
        <v>0</v>
      </c>
    </row>
    <row r="129" spans="1:9" ht="24" customHeight="1" x14ac:dyDescent="0.25">
      <c r="A129" s="1" t="str">
        <v>2030-12-24</v>
      </c>
      <c r="B129" s="1" t="str">
        <v>Redemption</v>
      </c>
      <c r="C129" s="1">
        <v>139.9357591955536</v>
      </c>
      <c r="D129" s="1">
        <v>0</v>
      </c>
      <c r="E129" s="1">
        <v>0</v>
      </c>
      <c r="F129" s="1" t="str">
        <v>EUR</v>
      </c>
      <c r="G129" s="1">
        <v>0</v>
      </c>
      <c r="H129">
        <v>0</v>
      </c>
      <c r="I129">
        <v>0</v>
      </c>
    </row>
    <row r="130" spans="1:9" ht="24" customHeight="1" x14ac:dyDescent="0.25">
      <c r="A130" s="1" t="str">
        <v>2031-01-24</v>
      </c>
      <c r="B130" s="1" t="str">
        <v>FixedRateCoupon</v>
      </c>
      <c r="C130" s="1">
        <v>11.809109719547653</v>
      </c>
      <c r="D130" s="1">
        <v>0</v>
      </c>
      <c r="E130" s="1">
        <v>8.4931506849315067E-2</v>
      </c>
      <c r="F130" s="1" t="str">
        <v>EUR</v>
      </c>
      <c r="G130" s="1">
        <v>0</v>
      </c>
      <c r="H130">
        <v>0</v>
      </c>
      <c r="I130">
        <v>0</v>
      </c>
    </row>
    <row r="131" spans="1:9" ht="24" customHeight="1" x14ac:dyDescent="0.25">
      <c r="A131" s="1" t="str">
        <v>2031-01-24</v>
      </c>
      <c r="B131" s="1" t="str">
        <v>Redemption</v>
      </c>
      <c r="C131" s="1">
        <v>140.1298986347897</v>
      </c>
      <c r="D131" s="1">
        <v>0</v>
      </c>
      <c r="E131" s="1">
        <v>0</v>
      </c>
      <c r="F131" s="1" t="str">
        <v>EUR</v>
      </c>
      <c r="G131" s="1">
        <v>0</v>
      </c>
      <c r="H131">
        <v>0</v>
      </c>
      <c r="I131">
        <v>0</v>
      </c>
    </row>
    <row r="132" spans="1:9" ht="24" customHeight="1" x14ac:dyDescent="0.25">
      <c r="A132" s="1" t="str">
        <v>2031-02-24</v>
      </c>
      <c r="B132" s="1" t="str">
        <v>FixedRateCoupon</v>
      </c>
      <c r="C132" s="1">
        <v>11.214037547262929</v>
      </c>
      <c r="D132" s="1">
        <v>0</v>
      </c>
      <c r="E132" s="1">
        <v>8.4931506849315067E-2</v>
      </c>
      <c r="F132" s="1" t="str">
        <v>EUR</v>
      </c>
      <c r="G132" s="1">
        <v>0</v>
      </c>
      <c r="H132">
        <v>0</v>
      </c>
      <c r="I132">
        <v>0</v>
      </c>
    </row>
    <row r="133" spans="1:9" ht="24" customHeight="1" x14ac:dyDescent="0.25">
      <c r="A133" s="1" t="str">
        <v>2031-02-24</v>
      </c>
      <c r="B133" s="1" t="str">
        <v>Redemption</v>
      </c>
      <c r="C133" s="1">
        <v>2640.7249708070767</v>
      </c>
      <c r="D133" s="1">
        <v>0</v>
      </c>
      <c r="E133" s="1">
        <v>0</v>
      </c>
      <c r="F133" s="1" t="str">
        <v>EUR</v>
      </c>
      <c r="G133" s="1">
        <v>0</v>
      </c>
      <c r="H133">
        <v>0</v>
      </c>
      <c r="I133">
        <v>0</v>
      </c>
    </row>
    <row r="160" spans="1:1" ht="24" customHeight="1" x14ac:dyDescent="0.25">
      <c r="A160" s="2" t="s">
        <v>105</v>
      </c>
    </row>
    <row r="161" spans="1:2" ht="24" customHeight="1" x14ac:dyDescent="0.25">
      <c r="A161" s="7" t="str" cm="1">
        <f t="array" ref="A161:B174">_xll.QS.EVALUATE(Context_Root,Context_Loan,"Sensitivities")</f>
        <v>Risk factor</v>
      </c>
      <c r="B161" s="1" t="str">
        <v>Sensitivity</v>
      </c>
    </row>
    <row r="162" spans="1:2" ht="24" customHeight="1" x14ac:dyDescent="0.25">
      <c r="A162" s="1" t="str">
        <v>FixedRateDeposit_EUR_ESTR_1D</v>
      </c>
      <c r="B162" s="1">
        <v>-29.948924672533334</v>
      </c>
    </row>
    <row r="163" spans="1:2" ht="24" customHeight="1" x14ac:dyDescent="0.25">
      <c r="A163" s="1" t="str">
        <v>OIS_EUR_ESTR_3M</v>
      </c>
      <c r="B163" s="1">
        <v>-139.91062378444221</v>
      </c>
    </row>
    <row r="164" spans="1:2" ht="24" customHeight="1" x14ac:dyDescent="0.25">
      <c r="A164" s="1" t="str">
        <v>OIS_EUR_ESTR_6M</v>
      </c>
      <c r="B164" s="1">
        <v>-333.95884568065111</v>
      </c>
    </row>
    <row r="165" spans="1:2" ht="24" customHeight="1" x14ac:dyDescent="0.25">
      <c r="A165" s="1" t="str">
        <v>OIS_EUR_ESTR_1Y</v>
      </c>
      <c r="B165" s="1">
        <v>-1121.4408780341669</v>
      </c>
    </row>
    <row r="166" spans="1:2" ht="24" customHeight="1" x14ac:dyDescent="0.25">
      <c r="A166" s="1" t="str">
        <v>OIS_EUR_ESTR_2Y</v>
      </c>
      <c r="B166" s="1">
        <v>-3154.6009533564093</v>
      </c>
    </row>
    <row r="167" spans="1:2" ht="24" customHeight="1" x14ac:dyDescent="0.25">
      <c r="A167" s="1" t="str">
        <v>OIS_EUR_ESTR_3Y</v>
      </c>
      <c r="B167" s="1">
        <v>-4792.9248826795301</v>
      </c>
    </row>
    <row r="168" spans="1:2" ht="24" customHeight="1" x14ac:dyDescent="0.25">
      <c r="A168" s="1" t="str">
        <v>OIS_EUR_ESTR_4Y</v>
      </c>
      <c r="B168" s="1">
        <v>-6530.5419601364129</v>
      </c>
    </row>
    <row r="169" spans="1:2" ht="24" customHeight="1" x14ac:dyDescent="0.25">
      <c r="A169" s="1" t="str">
        <v>OIS_EUR_ESTR_5Y</v>
      </c>
      <c r="B169" s="1">
        <v>-15939.660752040169</v>
      </c>
    </row>
    <row r="170" spans="1:2" ht="24" customHeight="1" x14ac:dyDescent="0.25">
      <c r="A170" s="1" t="str">
        <v>OIS_EUR_ESTR_7Y</v>
      </c>
      <c r="B170" s="1">
        <v>0</v>
      </c>
    </row>
    <row r="171" spans="1:2" ht="24" customHeight="1" x14ac:dyDescent="0.25">
      <c r="A171" s="1" t="str">
        <v>OIS_EUR_ESTR_10Y</v>
      </c>
      <c r="B171" s="1">
        <v>0</v>
      </c>
    </row>
    <row r="172" spans="1:2" ht="24" customHeight="1" x14ac:dyDescent="0.25">
      <c r="A172" s="1" t="str">
        <v>OIS_EUR_ESTR_15Y</v>
      </c>
      <c r="B172" s="1">
        <v>0</v>
      </c>
    </row>
    <row r="173" spans="1:2" ht="24" customHeight="1" x14ac:dyDescent="0.25">
      <c r="A173" s="1" t="str">
        <v>OIS_EUR_ESTR_20Y</v>
      </c>
      <c r="B173" s="1">
        <v>0</v>
      </c>
    </row>
    <row r="174" spans="1:2" ht="24" customHeight="1" x14ac:dyDescent="0.25">
      <c r="A174" s="1" t="str">
        <v>OIS_EUR_ESTR_30Y</v>
      </c>
      <c r="B174" s="1">
        <v>0</v>
      </c>
    </row>
  </sheetData>
  <mergeCells count="2">
    <mergeCell ref="A1:G1"/>
    <mergeCell ref="A2:G3"/>
  </mergeCells>
  <hyperlinks>
    <hyperlink ref="A4" location="'Start Here'!A1" display="← Start Here" xr:uid="{00000000-0004-0000-0400-000000000000}"/>
  </hyperlinks>
  <pageMargins left="0.3" right="0.3" top="0.4" bottom="0.4" header="0.3" footer="0.3"/>
  <pageSetup paperSize="9" fitToHeight="0" orientation="landscape"/>
  <headerFooter>
    <oddFooter>&amp;LQuantSupport&amp;CDirect prices and historical batch&amp;R&amp;P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32</vt:i4>
      </vt:variant>
    </vt:vector>
  </HeadingPairs>
  <TitlesOfParts>
    <vt:vector size="37" baseType="lpstr">
      <vt:lpstr>Start Here</vt:lpstr>
      <vt:lpstr>1 Inputs</vt:lpstr>
      <vt:lpstr>2 Contexts</vt:lpstr>
      <vt:lpstr>3 Contracts</vt:lpstr>
      <vt:lpstr>4 Results</vt:lpstr>
      <vt:lpstr>'Start Here'!Área_de_impresión</vt:lpstr>
      <vt:lpstr>Context_Archive</vt:lpstr>
      <vt:lpstr>Context_Balloon</vt:lpstr>
      <vt:lpstr>Context_Cashflows</vt:lpstr>
      <vt:lpstr>Context_Date</vt:lpstr>
      <vt:lpstr>Context_FairRate</vt:lpstr>
      <vt:lpstr>Context_HistoryInstruments</vt:lpstr>
      <vt:lpstr>Context_HistoryValues</vt:lpstr>
      <vt:lpstr>Context_Inputs</vt:lpstr>
      <vt:lpstr>Context_Loan</vt:lpstr>
      <vt:lpstr>Context_Maturity</vt:lpstr>
      <vt:lpstr>Context_NextDate</vt:lpstr>
      <vt:lpstr>Context_NextInputs</vt:lpstr>
      <vt:lpstr>Context_NextRoot</vt:lpstr>
      <vt:lpstr>Context_NextSnapshot</vt:lpstr>
      <vt:lpstr>Context_Notional</vt:lpstr>
      <vt:lpstr>Context_ObservationTimes</vt:lpstr>
      <vt:lpstr>Context_Options</vt:lpstr>
      <vt:lpstr>Context_Originations</vt:lpstr>
      <vt:lpstr>Context_Pricer</vt:lpstr>
      <vt:lpstr>Context_PV</vt:lpstr>
      <vt:lpstr>Context_QuoteIds</vt:lpstr>
      <vt:lpstr>Context_QuoteMid</vt:lpstr>
      <vt:lpstr>Context_Rate</vt:lpstr>
      <vt:lpstr>Context_Risk</vt:lpstr>
      <vt:lpstr>Context_Root</vt:lpstr>
      <vt:lpstr>Context_Snapshot</vt:lpstr>
      <vt:lpstr>Context_Snapshots</vt:lpstr>
      <vt:lpstr>'1 Inputs'!Títulos_a_imprimir</vt:lpstr>
      <vt:lpstr>'2 Contexts'!Títulos_a_imprimir</vt:lpstr>
      <vt:lpstr>'3 Contracts'!Títulos_a_imprimir</vt:lpstr>
      <vt:lpstr>'4 Results'!Títulos_a_imprimir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Context-first pricing</dc:title>
  <dc:creator/>
  <cp:lastModifiedBy>Jose Pedro Melo</cp:lastModifiedBy>
  <dcterms:created xsi:type="dcterms:W3CDTF">2026-01-01T00:00:00Z</dcterms:created>
  <dcterms:modified xsi:type="dcterms:W3CDTF">2026-10-24T09:30:25Z</dcterms:modified>
</cp:coreProperties>
</file>