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d.docs.live.net/d6018bc907cdb526/Escritorio/Pega/quantsupport/bindings/excel/examples/"/>
    </mc:Choice>
  </mc:AlternateContent>
  <xr:revisionPtr revIDLastSave="1" documentId="6_{50FD041E-3421-4C72-9127-BD90FB459EA1}" xr6:coauthVersionLast="47" xr6:coauthVersionMax="47" xr10:uidLastSave="{A01F022C-EC05-4CC7-8D6E-8B8B0DBC4337}"/>
  <bookViews>
    <workbookView xWindow="-120" yWindow="-120" windowWidth="29040" windowHeight="15720" activeTab="4" xr2:uid="{00000000-000D-0000-FFFF-FFFF00000000}"/>
  </bookViews>
  <sheets>
    <sheet name="Start Here" sheetId="1" r:id="rId1"/>
    <sheet name="1 Inputs" sheetId="2" r:id="rId2"/>
    <sheet name="2 Cases" sheetId="3" r:id="rId3"/>
    <sheet name="3 Market" sheetId="4" r:id="rId4"/>
    <sheet name="4 Build" sheetId="5" r:id="rId5"/>
    <sheet name="5 Results" sheetId="6" r:id="rId6"/>
    <sheet name="6 Cashflows" sheetId="7" r:id="rId7"/>
    <sheet name="7 Risk" sheetId="8" r:id="rId8"/>
    <sheet name="8 Layouts" sheetId="9" r:id="rId9"/>
  </sheets>
  <definedNames>
    <definedName name="_xlnm.Print_Area" localSheetId="0">'Start Here'!$A$1:$F$31</definedName>
    <definedName name="Loan_BaseCurves">'3 Market'!$B$38</definedName>
    <definedName name="Loan_C01_Discount">'2 Cases'!$B$9</definedName>
    <definedName name="Loan_C01_Fair0">'4 Build'!$B$49</definedName>
    <definedName name="Loan_C01_FairRate0">'5 Results'!$D$7</definedName>
    <definedName name="Loan_C01_Index">'2 Cases'!$D$8</definedName>
    <definedName name="Loan_C01_Instrument">'4 Build'!$B$37</definedName>
    <definedName name="Loan_C01_Net">'5 Results'!$C$7</definedName>
    <definedName name="Loan_C01_Pricer">'4 Build'!$B$43</definedName>
    <definedName name="Loan_C01_PV">'5 Results'!$B$7</definedName>
    <definedName name="Loan_C01_Rate">'2 Cases'!$B$8</definedName>
    <definedName name="Loan_C01_Repayment">'2 Cases'!$F$8</definedName>
    <definedName name="Loan_C01_Result">'4 Build'!$B$46</definedName>
    <definedName name="Loan_C01_Trade">'4 Build'!$B$40</definedName>
    <definedName name="Loan_C02_Discount">'2 Cases'!$B$19</definedName>
    <definedName name="Loan_C02_Fair0">'4 Build'!$B$69</definedName>
    <definedName name="Loan_C02_FairRate0">'5 Results'!$D$8</definedName>
    <definedName name="Loan_C02_Index">'2 Cases'!$D$18</definedName>
    <definedName name="Loan_C02_Instrument">'4 Build'!$B$57</definedName>
    <definedName name="Loan_C02_Net">'5 Results'!$C$8</definedName>
    <definedName name="Loan_C02_Pricer">'4 Build'!$B$63</definedName>
    <definedName name="Loan_C02_PV">'5 Results'!$B$8</definedName>
    <definedName name="Loan_C02_Rate">'2 Cases'!$B$18</definedName>
    <definedName name="Loan_C02_Repayment">'2 Cases'!$F$18</definedName>
    <definedName name="Loan_C02_Result">'4 Build'!$B$66</definedName>
    <definedName name="Loan_C02_Trade">'4 Build'!$B$60</definedName>
    <definedName name="Loan_C03_Discount">'2 Cases'!$B$29</definedName>
    <definedName name="Loan_C03_Fair0">'4 Build'!$B$92</definedName>
    <definedName name="Loan_C03_FairRate0">'5 Results'!$D$9</definedName>
    <definedName name="Loan_C03_Index">'2 Cases'!$D$28</definedName>
    <definedName name="Loan_C03_Instrument">'4 Build'!$B$80</definedName>
    <definedName name="Loan_C03_Net">'5 Results'!$C$9</definedName>
    <definedName name="Loan_C03_Options">'4 Build'!$B$77</definedName>
    <definedName name="Loan_C03_Pricer">'4 Build'!$B$86</definedName>
    <definedName name="Loan_C03_PV">'5 Results'!$B$9</definedName>
    <definedName name="Loan_C03_Rate">'2 Cases'!$B$28</definedName>
    <definedName name="Loan_C03_Repayment">'2 Cases'!$F$28</definedName>
    <definedName name="Loan_C03_Result">'4 Build'!$B$89</definedName>
    <definedName name="Loan_C03_Setting_balloonfraction">'2 Cases'!$B$32</definedName>
    <definedName name="Loan_C03_Trade">'4 Build'!$B$83</definedName>
    <definedName name="Loan_C04_Discount">'2 Cases'!$B$39</definedName>
    <definedName name="Loan_C04_Fair0">'4 Build'!$B$115</definedName>
    <definedName name="Loan_C04_FairRate0">'5 Results'!$D$10</definedName>
    <definedName name="Loan_C04_Index">'2 Cases'!$D$38</definedName>
    <definedName name="Loan_C04_Instrument">'4 Build'!$B$103</definedName>
    <definedName name="Loan_C04_Net">'5 Results'!$C$10</definedName>
    <definedName name="Loan_C04_Options">'4 Build'!$B$100</definedName>
    <definedName name="Loan_C04_Pricer">'4 Build'!$B$109</definedName>
    <definedName name="Loan_C04_PV">'5 Results'!$B$10</definedName>
    <definedName name="Loan_C04_Rate">'2 Cases'!$B$38</definedName>
    <definedName name="Loan_C04_Repayment">'2 Cases'!$F$38</definedName>
    <definedName name="Loan_C04_Result">'4 Build'!$B$112</definedName>
    <definedName name="Loan_C04_Setting_amortizationrate">'2 Cases'!$B$42</definedName>
    <definedName name="Loan_C04_Trade">'4 Build'!$B$106</definedName>
    <definedName name="Loan_C05_CouponIndices">'2 Cases'!$F$52:$F$53</definedName>
    <definedName name="Loan_C05_CouponPeriods">'2 Cases'!$D$52:$D$53</definedName>
    <definedName name="Loan_C05_CouponRates">'2 Cases'!$E$52:$E$53</definedName>
    <definedName name="Loan_C05_Discount">'2 Cases'!$B$49</definedName>
    <definedName name="Loan_C05_Fair0">'4 Build'!$B$135</definedName>
    <definedName name="Loan_C05_Fair1">'4 Build'!$B$138</definedName>
    <definedName name="Loan_C05_FairRate0">'5 Results'!$D$11</definedName>
    <definedName name="Loan_C05_FairRate1">'5 Results'!$E$11</definedName>
    <definedName name="Loan_C05_Index">'2 Cases'!$D$48</definedName>
    <definedName name="Loan_C05_Instrument">'4 Build'!$B$123</definedName>
    <definedName name="Loan_C05_Net">'5 Results'!$C$11</definedName>
    <definedName name="Loan_C05_Pricer">'4 Build'!$B$129</definedName>
    <definedName name="Loan_C05_PV">'5 Results'!$B$11</definedName>
    <definedName name="Loan_C05_Rate">'2 Cases'!$B$48</definedName>
    <definedName name="Loan_C05_Repayment">'2 Cases'!$F$48</definedName>
    <definedName name="Loan_C05_Result">'4 Build'!$B$132</definedName>
    <definedName name="Loan_C05_Trade">'4 Build'!$B$126</definedName>
    <definedName name="Loan_C06_Discount">'2 Cases'!$B$63</definedName>
    <definedName name="Loan_C06_Index">'2 Cases'!$D$62</definedName>
    <definedName name="Loan_C06_Instrument">'4 Build'!$B$149</definedName>
    <definedName name="Loan_C06_Net">'5 Results'!$C$12</definedName>
    <definedName name="Loan_C06_Options">'4 Build'!$B$146</definedName>
    <definedName name="Loan_C06_Pricer">'4 Build'!$B$155</definedName>
    <definedName name="Loan_C06_PV">'5 Results'!$B$12</definedName>
    <definedName name="Loan_C06_Rate">'2 Cases'!$B$62</definedName>
    <definedName name="Loan_C06_Repayment">'2 Cases'!$F$62</definedName>
    <definedName name="Loan_C06_Result">'4 Build'!$B$158</definedName>
    <definedName name="Loan_C06_Setting_amortizationrate">'2 Cases'!$B$66</definedName>
    <definedName name="Loan_C06_Setting_cap">'2 Cases'!$B$68</definedName>
    <definedName name="Loan_C06_Setting_floor">'2 Cases'!$B$67</definedName>
    <definedName name="Loan_C06_Trade">'4 Build'!$B$152</definedName>
    <definedName name="Loan_C07_Discount">'2 Cases'!$B$75</definedName>
    <definedName name="Loan_C07_Fair0">'4 Build'!$B$181</definedName>
    <definedName name="Loan_C07_FairRate0">'5 Results'!$D$13</definedName>
    <definedName name="Loan_C07_Index">'2 Cases'!$D$74</definedName>
    <definedName name="Loan_C07_Instrument">'4 Build'!$B$169</definedName>
    <definedName name="Loan_C07_Net">'5 Results'!$C$13</definedName>
    <definedName name="Loan_C07_Options">'4 Build'!$B$166</definedName>
    <definedName name="Loan_C07_Pricer">'4 Build'!$B$175</definedName>
    <definedName name="Loan_C07_PV">'5 Results'!$B$13</definedName>
    <definedName name="Loan_C07_Rate">'2 Cases'!$B$74</definedName>
    <definedName name="Loan_C07_Repayment">'2 Cases'!$F$74</definedName>
    <definedName name="Loan_C07_Result">'4 Build'!$B$178</definedName>
    <definedName name="Loan_C07_Setting_annualcpr">'2 Cases'!$B$78</definedName>
    <definedName name="Loan_C07_Trade">'4 Build'!$B$172</definedName>
    <definedName name="Loan_C08_Discount">'2 Cases'!$B$85</definedName>
    <definedName name="Loan_C08_Fair0">'4 Build'!$B$204</definedName>
    <definedName name="Loan_C08_FairRate0">'5 Results'!$D$14</definedName>
    <definedName name="Loan_C08_Index">'2 Cases'!$D$84</definedName>
    <definedName name="Loan_C08_Instrument">'4 Build'!$B$192</definedName>
    <definedName name="Loan_C08_Net">'5 Results'!$C$14</definedName>
    <definedName name="Loan_C08_Options">'4 Build'!$B$189</definedName>
    <definedName name="Loan_C08_Pricer">'4 Build'!$B$198</definedName>
    <definedName name="Loan_C08_PV">'5 Results'!$B$14</definedName>
    <definedName name="Loan_C08_Rate">'2 Cases'!$B$84</definedName>
    <definedName name="Loan_C08_Repayment">'2 Cases'!$F$84</definedName>
    <definedName name="Loan_C08_Result">'4 Build'!$B$201</definedName>
    <definedName name="Loan_C08_Setting_creditindex">'2 Cases'!$B$88</definedName>
    <definedName name="Loan_C08_Setting_recovery">'2 Cases'!$B$89</definedName>
    <definedName name="Loan_C08_Trade">'4 Build'!$B$195</definedName>
    <definedName name="Loan_C09_Discount">'2 Cases'!$B$96</definedName>
    <definedName name="Loan_C09_Fair0">'4 Build'!$B$224</definedName>
    <definedName name="Loan_C09_FairRate0">'5 Results'!$D$15</definedName>
    <definedName name="Loan_C09_Index">'2 Cases'!$D$95</definedName>
    <definedName name="Loan_C09_Instrument">'4 Build'!$B$212</definedName>
    <definedName name="Loan_C09_Net">'5 Results'!$C$15</definedName>
    <definedName name="Loan_C09_Pricer">'4 Build'!$B$218</definedName>
    <definedName name="Loan_C09_PV">'5 Results'!$B$15</definedName>
    <definedName name="Loan_C09_Rate">'2 Cases'!$B$95</definedName>
    <definedName name="Loan_C09_Repayment">'2 Cases'!$F$95</definedName>
    <definedName name="Loan_C09_Result">'4 Build'!$B$221</definedName>
    <definedName name="Loan_C09_Trade">'4 Build'!$B$215</definedName>
    <definedName name="Loan_C10_Discount">'2 Cases'!$B$106</definedName>
    <definedName name="Loan_C10_Fair0">'4 Build'!$B$247</definedName>
    <definedName name="Loan_C10_FairRate0">'5 Results'!$D$16</definedName>
    <definedName name="Loan_C10_Index">'2 Cases'!$D$105</definedName>
    <definedName name="Loan_C10_Instrument">'4 Build'!$B$235</definedName>
    <definedName name="Loan_C10_Net">'5 Results'!$C$16</definedName>
    <definedName name="Loan_C10_Options">'4 Build'!$B$232</definedName>
    <definedName name="Loan_C10_Pricer">'4 Build'!$B$241</definedName>
    <definedName name="Loan_C10_PV">'5 Results'!$B$16</definedName>
    <definedName name="Loan_C10_Rate">'2 Cases'!$B$105</definedName>
    <definedName name="Loan_C10_Repayment">'2 Cases'!$F$105</definedName>
    <definedName name="Loan_C10_Result">'4 Build'!$B$244</definedName>
    <definedName name="Loan_C10_Setting_amortizationrate">'2 Cases'!$B$109</definedName>
    <definedName name="Loan_C10_Trade">'4 Build'!$B$238</definedName>
    <definedName name="Loan_C11_CouponIndices">'2 Cases'!$F$119:$F$121</definedName>
    <definedName name="Loan_C11_CouponPeriods">'2 Cases'!$D$119:$D$121</definedName>
    <definedName name="Loan_C11_CouponRates">'2 Cases'!$E$119:$E$121</definedName>
    <definedName name="Loan_C11_Discount">'2 Cases'!$B$116</definedName>
    <definedName name="Loan_C11_Fair0">'4 Build'!$B$267</definedName>
    <definedName name="Loan_C11_Fair1">'4 Build'!$B$270</definedName>
    <definedName name="Loan_C11_Fair2">'4 Build'!$B$273</definedName>
    <definedName name="Loan_C11_FairRate0">'5 Results'!$D$17</definedName>
    <definedName name="Loan_C11_FairRate1">'5 Results'!$E$17</definedName>
    <definedName name="Loan_C11_FairRate2">'5 Results'!$F$17</definedName>
    <definedName name="Loan_C11_Index">'2 Cases'!$D$115</definedName>
    <definedName name="Loan_C11_Instrument">'4 Build'!$B$255</definedName>
    <definedName name="Loan_C11_Net">'5 Results'!$C$17</definedName>
    <definedName name="Loan_C11_Pricer">'4 Build'!$B$261</definedName>
    <definedName name="Loan_C11_PV">'5 Results'!$B$17</definedName>
    <definedName name="Loan_C11_Rate">'2 Cases'!$B$115</definedName>
    <definedName name="Loan_C11_Repayment">'2 Cases'!$F$115</definedName>
    <definedName name="Loan_C11_Result">'4 Build'!$B$264</definedName>
    <definedName name="Loan_C11_Trade">'4 Build'!$B$258</definedName>
    <definedName name="Loan_C12_CouponIndices">'2 Cases'!$F$133:$F$135</definedName>
    <definedName name="Loan_C12_CouponPeriods">'2 Cases'!$D$133:$D$135</definedName>
    <definedName name="Loan_C12_CouponRates">'2 Cases'!$E$133:$E$135</definedName>
    <definedName name="Loan_C12_Discount">'2 Cases'!$B$130</definedName>
    <definedName name="Loan_C12_Fair0">'4 Build'!$B$293</definedName>
    <definedName name="Loan_C12_Fair1">'4 Build'!$B$296</definedName>
    <definedName name="Loan_C12_Fair2">'4 Build'!$B$299</definedName>
    <definedName name="Loan_C12_FairRate0">'5 Results'!$D$18</definedName>
    <definedName name="Loan_C12_FairRate1">'5 Results'!$E$18</definedName>
    <definedName name="Loan_C12_FairRate2">'5 Results'!$F$18</definedName>
    <definedName name="Loan_C12_Index">'2 Cases'!$D$129</definedName>
    <definedName name="Loan_C12_Instrument">'4 Build'!$B$281</definedName>
    <definedName name="Loan_C12_Net">'5 Results'!$C$18</definedName>
    <definedName name="Loan_C12_Pricer">'4 Build'!$B$287</definedName>
    <definedName name="Loan_C12_PV">'5 Results'!$B$18</definedName>
    <definedName name="Loan_C12_Rate">'2 Cases'!$B$129</definedName>
    <definedName name="Loan_C12_Repayment">'2 Cases'!$F$129</definedName>
    <definedName name="Loan_C12_Result">'4 Build'!$B$290</definedName>
    <definedName name="Loan_C12_Trade">'4 Build'!$B$284</definedName>
    <definedName name="Loan_CaseNames">'5 Results'!$A$7:$A$18</definedName>
    <definedName name="Loan_Context">'4 Build'!$B$7</definedName>
    <definedName name="Loan_Credit">'3 Market'!$B$35</definedName>
    <definedName name="Loan_CreditMid">'3 Market'!$B$18:$B$24</definedName>
    <definedName name="Loan_CreditQuotes">'3 Market'!$A$18:$A$24</definedName>
    <definedName name="Loan_Currency">'1 Inputs'!$B$15</definedName>
    <definedName name="Loan_Curves">'3 Market'!$B$47</definedName>
    <definedName name="Loan_DayCounter">'1 Inputs'!$B$14</definedName>
    <definedName name="Loan_EstrCurve">'4 Build'!$B$22</definedName>
    <definedName name="Loan_FixedRate">'1 Inputs'!$B$9</definedName>
    <definedName name="Loan_FloatingSpread">'1 Inputs'!$B$10</definedName>
    <definedName name="Loan_ForwardCurves">'3 Market'!$B$41</definedName>
    <definedName name="Loan_ForwardRates">'3 Market'!$C$7:$C$11</definedName>
    <definedName name="Loan_Frequency">'1 Inputs'!$B$13</definedName>
    <definedName name="Loan_FundingCurrency">'1 Inputs'!$A$29</definedName>
    <definedName name="Loan_FundingIndex">'1 Inputs'!$B$29</definedName>
    <definedName name="Loan_FundingMapping">'1 Inputs'!$A$29:$B$29</definedName>
    <definedName name="Loan_FundingPolicy">'4 Build'!$B$16</definedName>
    <definedName name="Loan_FundingPricer">'4 Build'!$B$19</definedName>
    <definedName name="Loan_FundingSpreads">'3 Market'!$D$7:$D$11</definedName>
    <definedName name="Loan_MarketInputs">'3 Market'!$B$35:$B$49</definedName>
    <definedName name="Loan_Maturity">'1 Inputs'!$B$12</definedName>
    <definedName name="Loan_Notional">'1 Inputs'!$B$8</definedName>
    <definedName name="Loan_Pillars">'3 Market'!$A$7:$A$11</definedName>
    <definedName name="Loan_Recovery">'3 Market'!$B$27</definedName>
    <definedName name="Loan_Request0">'4 Build'!$B$25</definedName>
    <definedName name="Loan_Request1">'4 Build'!$B$28</definedName>
    <definedName name="Loan_Request2">'4 Build'!$B$31</definedName>
    <definedName name="Loan_Requests">'1 Inputs'!$A$21:$A$23</definedName>
    <definedName name="Loan_ResultHandles">'4 Build'!$B$305:$B$316</definedName>
    <definedName name="Loan_RiskFreeCurrency">'1 Inputs'!$A$28</definedName>
    <definedName name="Loan_RiskFreeIndex">'1 Inputs'!$B$28</definedName>
    <definedName name="Loan_RiskFreeMapping">'1 Inputs'!$A$28:$B$28</definedName>
    <definedName name="Loan_RiskFreePolicy">'4 Build'!$B$10</definedName>
    <definedName name="Loan_RiskFreePricer">'4 Build'!$B$13</definedName>
    <definedName name="Loan_Root">'3 Market'!$B$32</definedName>
    <definedName name="Loan_SelectedCase">'5 Results'!$B$22</definedName>
    <definedName name="Loan_SelectedResult">'4 Build'!$B$319</definedName>
    <definedName name="Loan_Side">'1 Inputs'!$B$16</definedName>
    <definedName name="Loan_SpreadCurves">'3 Market'!$B$44</definedName>
    <definedName name="Loan_Start">'1 Inputs'!$B$11</definedName>
    <definedName name="Loan_ValuationDate">'1 Inputs'!$B$7</definedName>
    <definedName name="Loan_ZeroRates">'3 Market'!$B$7:$B$11</definedName>
    <definedName name="_xlnm.Print_Titles" localSheetId="1">'1 Inputs'!$1:$6</definedName>
    <definedName name="_xlnm.Print_Titles" localSheetId="2">'2 Cases'!$1:$6</definedName>
    <definedName name="_xlnm.Print_Titles" localSheetId="3">'3 Market'!$1:$6</definedName>
    <definedName name="_xlnm.Print_Titles" localSheetId="4">'4 Build'!$1:$6</definedName>
    <definedName name="_xlnm.Print_Titles" localSheetId="5">'5 Results'!$1:$6</definedName>
    <definedName name="_xlnm.Print_Titles" localSheetId="6">'6 Cashflows'!$1:$7</definedName>
    <definedName name="_xlnm.Print_Titles" localSheetId="7">'7 Risk'!$1:$7</definedName>
    <definedName name="_xlnm.Print_Titles" localSheetId="8">'8 Layouts'!$1:$6</definedName>
  </definedName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8" l="1"/>
  <c r="B6" i="7"/>
  <c r="A320" i="5"/>
  <c r="A300" i="5"/>
  <c r="A297" i="5"/>
  <c r="A294" i="5"/>
  <c r="A291" i="5"/>
  <c r="A288" i="5"/>
  <c r="A285" i="5"/>
  <c r="A282" i="5"/>
  <c r="B281" i="5" a="1"/>
  <c r="B284" i="5" s="1" a="1"/>
  <c r="A274" i="5"/>
  <c r="A271" i="5"/>
  <c r="A268" i="5"/>
  <c r="A265" i="5"/>
  <c r="A262" i="5"/>
  <c r="A259" i="5"/>
  <c r="A256" i="5"/>
  <c r="B255" i="5" a="1"/>
  <c r="B258" i="5" s="1" a="1"/>
  <c r="A248" i="5"/>
  <c r="A245" i="5"/>
  <c r="A242" i="5"/>
  <c r="A239" i="5"/>
  <c r="A236" i="5"/>
  <c r="A233" i="5"/>
  <c r="B232" i="5" a="1"/>
  <c r="B235" i="5" s="1" a="1"/>
  <c r="B238" i="5" s="1" a="1"/>
  <c r="A225" i="5"/>
  <c r="A222" i="5"/>
  <c r="A219" i="5"/>
  <c r="A216" i="5"/>
  <c r="A213" i="5"/>
  <c r="B212" i="5" a="1"/>
  <c r="B215" i="5" s="1" a="1"/>
  <c r="A205" i="5"/>
  <c r="A202" i="5"/>
  <c r="A199" i="5"/>
  <c r="A196" i="5"/>
  <c r="A193" i="5"/>
  <c r="A190" i="5"/>
  <c r="B189" i="5" a="1"/>
  <c r="B192" i="5" s="1" a="1"/>
  <c r="B195" i="5" s="1" a="1"/>
  <c r="A182" i="5"/>
  <c r="A179" i="5"/>
  <c r="A176" i="5"/>
  <c r="A173" i="5"/>
  <c r="A170" i="5"/>
  <c r="A167" i="5"/>
  <c r="B166" i="5" a="1"/>
  <c r="B169" i="5" s="1" a="1"/>
  <c r="B172" i="5" s="1" a="1"/>
  <c r="A159" i="5"/>
  <c r="A156" i="5"/>
  <c r="A153" i="5"/>
  <c r="A150" i="5"/>
  <c r="A147" i="5"/>
  <c r="B146" i="5" a="1"/>
  <c r="B149" i="5" s="1" a="1"/>
  <c r="B152" i="5" s="1" a="1"/>
  <c r="A139" i="5"/>
  <c r="A136" i="5"/>
  <c r="A133" i="5"/>
  <c r="A130" i="5"/>
  <c r="A127" i="5"/>
  <c r="A124" i="5"/>
  <c r="B123" i="5" a="1"/>
  <c r="B126" i="5" s="1" a="1"/>
  <c r="A116" i="5"/>
  <c r="A113" i="5"/>
  <c r="A110" i="5"/>
  <c r="A107" i="5"/>
  <c r="A104" i="5"/>
  <c r="A101" i="5"/>
  <c r="B100" i="5" a="1"/>
  <c r="B103" i="5" s="1" a="1"/>
  <c r="B106" i="5" s="1" a="1"/>
  <c r="A93" i="5"/>
  <c r="A90" i="5"/>
  <c r="A87" i="5"/>
  <c r="A84" i="5"/>
  <c r="A81" i="5"/>
  <c r="A78" i="5"/>
  <c r="B77" i="5" a="1"/>
  <c r="B80" i="5" s="1" a="1"/>
  <c r="B83" i="5" s="1" a="1"/>
  <c r="A70" i="5"/>
  <c r="A67" i="5"/>
  <c r="A64" i="5"/>
  <c r="A61" i="5"/>
  <c r="A58" i="5"/>
  <c r="B57" i="5" a="1"/>
  <c r="B60" i="5" s="1" a="1"/>
  <c r="A50" i="5"/>
  <c r="A47" i="5"/>
  <c r="A44" i="5"/>
  <c r="A41" i="5"/>
  <c r="A38" i="5"/>
  <c r="B37" i="5" a="1"/>
  <c r="B40" i="5" s="1" a="1"/>
  <c r="A32" i="5"/>
  <c r="B31" i="5" a="1"/>
  <c r="A29" i="5"/>
  <c r="B28" i="5" a="1"/>
  <c r="A26" i="5"/>
  <c r="B25" i="5" a="1"/>
  <c r="A23" i="5"/>
  <c r="A20" i="5"/>
  <c r="A17" i="5"/>
  <c r="B16" i="5" a="1"/>
  <c r="B19" i="5" s="1" a="1"/>
  <c r="A14" i="5"/>
  <c r="A11" i="5"/>
  <c r="B10" i="5" a="1"/>
  <c r="B13" i="5" s="1" a="1"/>
  <c r="A8" i="5"/>
  <c r="A48" i="4"/>
  <c r="A45" i="4"/>
  <c r="A42" i="4"/>
  <c r="A39" i="4"/>
  <c r="A36" i="4"/>
  <c r="A33" i="4"/>
  <c r="B32" i="4" a="1"/>
  <c r="D129" i="3"/>
  <c r="B129" i="3"/>
  <c r="D115" i="3"/>
  <c r="B115" i="3"/>
  <c r="B105" i="3"/>
  <c r="B95" i="3"/>
  <c r="B89" i="3"/>
  <c r="B84" i="3"/>
  <c r="B74" i="3"/>
  <c r="B62" i="3"/>
  <c r="E53" i="3"/>
  <c r="D48" i="3"/>
  <c r="B48" i="3"/>
  <c r="B38" i="3"/>
  <c r="B28" i="3"/>
  <c r="B18" i="3"/>
  <c r="B8" i="3"/>
  <c r="B218" i="5" l="1"/>
  <c r="B241" i="5"/>
  <c r="B43" i="5"/>
  <c r="B175" i="5"/>
  <c r="B129" i="5"/>
  <c r="B63" i="5"/>
  <c r="B155" i="5"/>
  <c r="B86" i="5"/>
  <c r="B198" i="5"/>
  <c r="B261" i="5"/>
  <c r="B109" i="5"/>
  <c r="B287" i="5"/>
  <c r="B47" i="4" a="1"/>
  <c r="B44" i="4" a="1"/>
  <c r="B41" i="4" a="1"/>
  <c r="B38" i="4" a="1"/>
  <c r="B35" i="4" a="1"/>
  <c r="B7" i="5" l="1" a="1"/>
  <c r="B115" i="5" a="1"/>
  <c r="D10" i="6" s="1" a="1"/>
  <c r="B92" i="5" a="1"/>
  <c r="D9" i="6" s="1" a="1"/>
  <c r="B89" i="5" a="1"/>
  <c r="B46" i="5" l="1" a="1"/>
  <c r="B305" i="5" s="1"/>
  <c r="B319" i="5" s="1"/>
  <c r="B224" i="5" a="1"/>
  <c r="D15" i="6" s="1" a="1"/>
  <c r="B221" i="5" a="1"/>
  <c r="B313" i="5" s="1"/>
  <c r="B66" i="5" a="1"/>
  <c r="B306" i="5" s="1"/>
  <c r="B204" i="5" a="1"/>
  <c r="D14" i="6" s="1" a="1"/>
  <c r="B158" i="5" a="1"/>
  <c r="B310" i="5" s="1"/>
  <c r="B181" i="5" a="1"/>
  <c r="D13" i="6" s="1" a="1"/>
  <c r="B22" i="5" a="1"/>
  <c r="B138" i="5" a="1"/>
  <c r="E11" i="6" s="1" a="1"/>
  <c r="B69" i="5" a="1"/>
  <c r="D8" i="6" s="1" a="1"/>
  <c r="B178" i="5" a="1"/>
  <c r="B311" i="5" s="1"/>
  <c r="B135" i="5" a="1"/>
  <c r="D11" i="6" s="1" a="1"/>
  <c r="B132" i="5" a="1"/>
  <c r="B112" i="5" a="1"/>
  <c r="B308" i="5" s="1"/>
  <c r="B299" i="5" a="1"/>
  <c r="F18" i="6" s="1" a="1"/>
  <c r="B296" i="5" a="1"/>
  <c r="E18" i="6" s="1" a="1"/>
  <c r="B293" i="5" a="1"/>
  <c r="D18" i="6" s="1" a="1"/>
  <c r="B290" i="5" a="1"/>
  <c r="B201" i="5" a="1"/>
  <c r="B273" i="5" a="1"/>
  <c r="F17" i="6" s="1" a="1"/>
  <c r="B270" i="5" a="1"/>
  <c r="E17" i="6" s="1" a="1"/>
  <c r="B267" i="5" a="1"/>
  <c r="D17" i="6" s="1" a="1"/>
  <c r="B264" i="5" a="1"/>
  <c r="B315" i="5" s="1"/>
  <c r="B247" i="5" a="1"/>
  <c r="D16" i="6" s="1" a="1"/>
  <c r="B244" i="5" a="1"/>
  <c r="B314" i="5" s="1"/>
  <c r="B49" i="5" a="1"/>
  <c r="D7" i="6" s="1" a="1"/>
  <c r="B307" i="5"/>
  <c r="B9" i="6" a="1"/>
  <c r="C9" i="6" s="1"/>
  <c r="B7" i="6" a="1"/>
  <c r="C7" i="6" s="1"/>
  <c r="B15" i="6" a="1"/>
  <c r="C15" i="6" s="1"/>
  <c r="B8" i="6" a="1"/>
  <c r="C8" i="6" s="1"/>
  <c r="B12" i="6" a="1"/>
  <c r="C12" i="6" s="1"/>
  <c r="B13" i="6" a="1"/>
  <c r="C13" i="6" s="1"/>
  <c r="B10" i="6" a="1"/>
  <c r="C10" i="6" s="1"/>
  <c r="B17" i="6" a="1"/>
  <c r="C17" i="6" s="1"/>
  <c r="B16" i="6" a="1"/>
  <c r="C16" i="6" s="1"/>
  <c r="A7" i="9" l="1" a="1"/>
  <c r="A17" i="9" a="1"/>
  <c r="A27" i="9" a="1"/>
  <c r="A37" i="9" a="1"/>
  <c r="B11" i="6" a="1"/>
  <c r="C11" i="6" s="1"/>
  <c r="B309" i="5"/>
  <c r="B18" i="6" a="1"/>
  <c r="C18" i="6" s="1"/>
  <c r="B316" i="5"/>
  <c r="B14" i="6" a="1"/>
  <c r="C14" i="6" s="1"/>
  <c r="B312" i="5"/>
  <c r="A7" i="7" a="1"/>
  <c r="A7" i="8"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100-000001000000}">
      <text>
        <r>
          <rPr>
            <sz val="8"/>
            <color indexed="81"/>
            <rFont val="Tahoma"/>
            <family val="2"/>
          </rPr>
          <t>Valuation at origination supports the fair-rate solves.</t>
        </r>
      </text>
    </comment>
    <comment ref="B8" authorId="0" shapeId="0" xr:uid="{00000000-0006-0000-0100-000002000000}">
      <text>
        <r>
          <rPr>
            <sz val="8"/>
            <color indexed="81"/>
            <rFont val="Tahoma"/>
            <family val="2"/>
          </rPr>
          <t>Contractual principal; the trade does not override it.</t>
        </r>
      </text>
    </comment>
    <comment ref="B9" authorId="0" shapeId="0" xr:uid="{00000000-0006-0000-0100-000003000000}">
      <text>
        <r>
          <rPr>
            <sz val="8"/>
            <color indexed="81"/>
            <rFont val="Tahoma"/>
            <family val="2"/>
          </rPr>
          <t>Used by the fixed-rate cases unless overridden.</t>
        </r>
      </text>
    </comment>
    <comment ref="B10" authorId="0" shapeId="0" xr:uid="{00000000-0006-0000-0100-000004000000}">
      <text>
        <r>
          <rPr>
            <sz val="8"/>
            <color indexed="81"/>
            <rFont val="Tahoma"/>
            <family val="2"/>
          </rPr>
          <t>Spread over EURIBOR12m.</t>
        </r>
      </text>
    </comment>
    <comment ref="B11" authorId="0" shapeId="0" xr:uid="{00000000-0006-0000-0100-000005000000}">
      <text>
        <r>
          <rPr>
            <sz val="8"/>
            <color indexed="81"/>
            <rFont val="Tahoma"/>
            <family val="2"/>
          </rPr>
          <t>Contractual origination date.</t>
        </r>
      </text>
    </comment>
    <comment ref="B12" authorId="0" shapeId="0" xr:uid="{00000000-0006-0000-0100-000006000000}">
      <text>
        <r>
          <rPr>
            <sz val="8"/>
            <color indexed="81"/>
            <rFont val="Tahoma"/>
            <family val="2"/>
          </rPr>
          <t>Thirty-year teaching example.</t>
        </r>
      </text>
    </comment>
    <comment ref="B13" authorId="0" shapeId="0" xr:uid="{00000000-0006-0000-0100-000007000000}">
      <text>
        <r>
          <rPr>
            <sz val="8"/>
            <color indexed="81"/>
            <rFont val="Tahoma"/>
            <family val="2"/>
          </rPr>
          <t>Case schedule counts refer to payment periods.</t>
        </r>
      </text>
    </comment>
    <comment ref="B14" authorId="0" shapeId="0" xr:uid="{00000000-0006-0000-0100-000008000000}">
      <text>
        <r>
          <rPr>
            <sz val="8"/>
            <color indexed="81"/>
            <rFont val="Tahoma"/>
            <family val="2"/>
          </rPr>
          <t>Contractual accrual and amortization convention.</t>
        </r>
      </text>
    </comment>
    <comment ref="B15" authorId="0" shapeId="0" xr:uid="{00000000-0006-0000-0100-000009000000}">
      <text>
        <r>
          <rPr>
            <sz val="8"/>
            <color indexed="81"/>
            <rFont val="Tahoma"/>
            <family val="2"/>
          </rPr>
          <t>These market assumptions are configured in EUR.</t>
        </r>
      </text>
    </comment>
    <comment ref="B16" authorId="0" shapeId="0" xr:uid="{00000000-0006-0000-0100-00000A000000}">
      <text>
        <r>
          <rPr>
            <sz val="8"/>
            <color indexed="81"/>
            <rFont val="Tahoma"/>
            <family val="2"/>
          </rPr>
          <t>Lender receipts are positive; Pay reverses the direction.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7" authorId="0" shapeId="0" xr:uid="{00000000-0006-0000-0300-000001000000}">
      <text>
        <r>
          <rPr>
            <sz val="8"/>
            <color indexed="81"/>
            <rFont val="Tahoma"/>
            <family val="2"/>
          </rPr>
          <t>Fraction recovered on borrower default.</t>
        </r>
      </text>
    </comment>
    <comment ref="B32" authorId="0" shapeId="0" xr:uid="{00000000-0006-0000-0300-000002000000}">
      <text>
        <r>
          <rPr>
            <sz val="8"/>
            <color indexed="81"/>
            <rFont val="Tahoma"/>
            <family val="2"/>
          </rPr>
          <t>Owns the market stores and date.</t>
        </r>
      </text>
    </comment>
    <comment ref="B35" authorId="0" shapeId="0" xr:uid="{00000000-0006-0000-0300-000003000000}">
      <text>
        <r>
          <rPr>
            <sz val="8"/>
            <color indexed="81"/>
            <rFont val="Tahoma"/>
            <family val="2"/>
          </rPr>
          <t>Independent CDS identifier and quote arrays.</t>
        </r>
      </text>
    </comment>
    <comment ref="B38" authorId="0" shapeId="0" xr:uid="{00000000-0006-0000-0300-000004000000}">
      <text>
        <r>
          <rPr>
            <sz val="8"/>
            <color indexed="81"/>
            <rFont val="Tahoma"/>
            <family val="2"/>
          </rPr>
          <t>Every addition references the same root; fields are separate arrays.</t>
        </r>
      </text>
    </comment>
    <comment ref="B41" authorId="0" shapeId="0" xr:uid="{00000000-0006-0000-0300-000005000000}">
      <text>
        <r>
          <rPr>
            <sz val="8"/>
            <color indexed="81"/>
            <rFont val="Tahoma"/>
            <family val="2"/>
          </rPr>
          <t>Every addition references the same root; fields are separate arrays.</t>
        </r>
      </text>
    </comment>
    <comment ref="B44" authorId="0" shapeId="0" xr:uid="{00000000-0006-0000-0300-000006000000}">
      <text>
        <r>
          <rPr>
            <sz val="8"/>
            <color indexed="81"/>
            <rFont val="Tahoma"/>
            <family val="2"/>
          </rPr>
          <t>Every addition references the same root; fields are separate arrays.</t>
        </r>
      </text>
    </comment>
    <comment ref="B47" authorId="0" shapeId="0" xr:uid="{00000000-0006-0000-0300-000007000000}">
      <text>
        <r>
          <rPr>
            <sz val="8"/>
            <color indexed="81"/>
            <rFont val="Tahoma"/>
            <family val="2"/>
          </rPr>
          <t>Funding is an ordinary context curve.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400-000001000000}">
      <text>
        <r>
          <rPr>
            <sz val="8"/>
            <color indexed="81"/>
            <rFont val="Tahoma"/>
            <family val="2"/>
          </rPr>
          <t>Constructs the projection, discount, funding and credit curves.</t>
        </r>
      </text>
    </comment>
    <comment ref="B10" authorId="0" shapeId="0" xr:uid="{00000000-0006-0000-0400-000002000000}">
      <text>
        <r>
          <rPr>
            <sz val="8"/>
            <color indexed="81"/>
            <rFont val="Tahoma"/>
            <family val="2"/>
          </rPr>
          <t>Maps EUR to an ordinary market curve.</t>
        </r>
      </text>
    </comment>
    <comment ref="B13" authorId="0" shapeId="0" xr:uid="{00000000-0006-0000-0400-000003000000}">
      <text>
        <r>
          <rPr>
            <sz val="8"/>
            <color indexed="81"/>
            <rFont val="Tahoma"/>
            <family val="2"/>
          </rPr>
          <t>Same native LoanPricer, with an explicit policy.</t>
        </r>
      </text>
    </comment>
    <comment ref="B16" authorId="0" shapeId="0" xr:uid="{00000000-0006-0000-0400-000004000000}">
      <text>
        <r>
          <rPr>
            <sz val="8"/>
            <color indexed="81"/>
            <rFont val="Tahoma"/>
            <family val="2"/>
          </rPr>
          <t>Maps EUR to an ordinary market curve.</t>
        </r>
      </text>
    </comment>
    <comment ref="B19" authorId="0" shapeId="0" xr:uid="{00000000-0006-0000-0400-000005000000}">
      <text>
        <r>
          <rPr>
            <sz val="8"/>
            <color indexed="81"/>
            <rFont val="Tahoma"/>
            <family val="2"/>
          </rPr>
          <t>Same native LoanPricer, with an explicit policy.</t>
        </r>
      </text>
    </comment>
    <comment ref="B22" authorId="0" shapeId="0" xr:uid="{00000000-0006-0000-0400-000006000000}">
      <text>
        <r>
          <rPr>
            <sz val="8"/>
            <color indexed="81"/>
            <rFont val="Tahoma"/>
            <family val="2"/>
          </rPr>
          <t>A small five-node table for the layout lesson.</t>
        </r>
      </text>
    </comment>
    <comment ref="B25" authorId="0" shapeId="0" xr:uid="{00000000-0006-0000-0400-000007000000}">
      <text>
        <r>
          <rPr>
            <sz val="8"/>
            <color indexed="81"/>
            <rFont val="Tahoma"/>
            <family val="2"/>
          </rPr>
          <t>Returns one requested segment's scalar; earlier segments are bootstrapped first.</t>
        </r>
      </text>
    </comment>
    <comment ref="B28" authorId="0" shapeId="0" xr:uid="{00000000-0006-0000-0400-000008000000}">
      <text>
        <r>
          <rPr>
            <sz val="8"/>
            <color indexed="81"/>
            <rFont val="Tahoma"/>
            <family val="2"/>
          </rPr>
          <t>Returns one requested segment's scalar; earlier segments are bootstrapped first.</t>
        </r>
      </text>
    </comment>
    <comment ref="B31" authorId="0" shapeId="0" xr:uid="{00000000-0006-0000-0400-000009000000}">
      <text>
        <r>
          <rPr>
            <sz val="8"/>
            <color indexed="81"/>
            <rFont val="Tahoma"/>
            <family val="2"/>
          </rPr>
          <t>Returns one requested segment's scalar; earlier segments are bootstrapped first.</t>
        </r>
      </text>
    </comment>
    <comment ref="B37" authorId="0" shapeId="0" xr:uid="{00000000-0006-0000-0400-00000A000000}">
      <text>
        <r>
          <rPr>
            <sz val="8"/>
            <color indexed="81"/>
            <rFont val="Tahoma"/>
            <family val="2"/>
          </rPr>
          <t>Baseline monthly amortization.</t>
        </r>
      </text>
    </comment>
    <comment ref="B40" authorId="0" shapeId="0" xr:uid="{00000000-0006-0000-0400-00000B000000}">
      <text>
        <r>
          <rPr>
            <sz val="8"/>
            <color indexed="81"/>
            <rFont val="Tahoma"/>
            <family val="2"/>
          </rPr>
          <t>The contractual principal stays in the instrument.</t>
        </r>
      </text>
    </comment>
    <comment ref="B43" authorId="0" shapeId="0" xr:uid="{00000000-0006-0000-0400-00000C000000}">
      <text>
        <r>
          <rPr>
            <sz val="8"/>
            <color indexed="81"/>
            <rFont val="Tahoma"/>
            <family val="2"/>
          </rPr>
          <t>The case's discount choice selects an existing policy-configured pricer.</t>
        </r>
      </text>
    </comment>
    <comment ref="B46" authorId="0" shapeId="0" xr:uid="{00000000-0006-0000-0400-00000D000000}">
      <text>
        <r>
          <rPr>
            <sz val="8"/>
            <color indexed="81"/>
            <rFont val="Tahoma"/>
            <family val="2"/>
          </rPr>
          <t>Future receipt PV excludes the original principal advance.</t>
        </r>
      </text>
    </comment>
    <comment ref="B49" authorId="0" shapeId="0" xr:uid="{00000000-0006-0000-0400-00000E000000}">
      <text>
        <r>
          <rPr>
            <sz val="8"/>
            <color indexed="81"/>
            <rFont val="Tahoma"/>
            <family val="2"/>
          </rPr>
          <t>Repay remaining principal at each prefix end, lock earlier solved rates, then extend.</t>
        </r>
      </text>
    </comment>
    <comment ref="B57" authorId="0" shapeId="0" xr:uid="{00000000-0006-0000-0400-00000F000000}">
      <text>
        <r>
          <rPr>
            <sz val="8"/>
            <color indexed="81"/>
            <rFont val="Tahoma"/>
            <family val="2"/>
          </rPr>
          <t>Repay all principal at maturity.</t>
        </r>
      </text>
    </comment>
    <comment ref="B60" authorId="0" shapeId="0" xr:uid="{00000000-0006-0000-0400-000010000000}">
      <text>
        <r>
          <rPr>
            <sz val="8"/>
            <color indexed="81"/>
            <rFont val="Tahoma"/>
            <family val="2"/>
          </rPr>
          <t>The contractual principal stays in the instrument.</t>
        </r>
      </text>
    </comment>
    <comment ref="B63" authorId="0" shapeId="0" xr:uid="{00000000-0006-0000-0400-000011000000}">
      <text>
        <r>
          <rPr>
            <sz val="8"/>
            <color indexed="81"/>
            <rFont val="Tahoma"/>
            <family val="2"/>
          </rPr>
          <t>The case's discount choice selects an existing policy-configured pricer.</t>
        </r>
      </text>
    </comment>
    <comment ref="B66" authorId="0" shapeId="0" xr:uid="{00000000-0006-0000-0400-000012000000}">
      <text>
        <r>
          <rPr>
            <sz val="8"/>
            <color indexed="81"/>
            <rFont val="Tahoma"/>
            <family val="2"/>
          </rPr>
          <t>Future receipt PV excludes the original principal advance.</t>
        </r>
      </text>
    </comment>
    <comment ref="B69" authorId="0" shapeId="0" xr:uid="{00000000-0006-0000-0400-000013000000}">
      <text>
        <r>
          <rPr>
            <sz val="8"/>
            <color indexed="81"/>
            <rFont val="Tahoma"/>
            <family val="2"/>
          </rPr>
          <t>Repay remaining principal at each prefix end, lock earlier solved rates, then extend.</t>
        </r>
      </text>
    </comment>
    <comment ref="B77" authorId="0" shapeId="0" xr:uid="{00000000-0006-0000-0400-000014000000}">
      <text>
        <r>
          <rPr>
            <sz val="8"/>
            <color indexed="81"/>
            <rFont val="Tahoma"/>
            <family val="2"/>
          </rPr>
          <t>Each optional parameter is visible in IntelliSense; its value refers to the case input cell.</t>
        </r>
      </text>
    </comment>
    <comment ref="B80" authorId="0" shapeId="0" xr:uid="{00000000-0006-0000-0400-000015000000}">
      <text>
        <r>
          <rPr>
            <sz val="8"/>
            <color indexed="81"/>
            <rFont val="Tahoma"/>
            <family val="2"/>
          </rPr>
          <t>Reserve one quarter of principal for maturity.</t>
        </r>
      </text>
    </comment>
    <comment ref="B83" authorId="0" shapeId="0" xr:uid="{00000000-0006-0000-0400-000016000000}">
      <text>
        <r>
          <rPr>
            <sz val="8"/>
            <color indexed="81"/>
            <rFont val="Tahoma"/>
            <family val="2"/>
          </rPr>
          <t>The contractual principal stays in the instrument.</t>
        </r>
      </text>
    </comment>
    <comment ref="B86" authorId="0" shapeId="0" xr:uid="{00000000-0006-0000-0400-000017000000}">
      <text>
        <r>
          <rPr>
            <sz val="8"/>
            <color indexed="81"/>
            <rFont val="Tahoma"/>
            <family val="2"/>
          </rPr>
          <t>The case's discount choice selects an existing policy-configured pricer.</t>
        </r>
      </text>
    </comment>
    <comment ref="B89" authorId="0" shapeId="0" xr:uid="{00000000-0006-0000-0400-000018000000}">
      <text>
        <r>
          <rPr>
            <sz val="8"/>
            <color indexed="81"/>
            <rFont val="Tahoma"/>
            <family val="2"/>
          </rPr>
          <t>Future receipt PV excludes the original principal advance.</t>
        </r>
      </text>
    </comment>
    <comment ref="B92" authorId="0" shapeId="0" xr:uid="{00000000-0006-0000-0400-000019000000}">
      <text>
        <r>
          <rPr>
            <sz val="8"/>
            <color indexed="81"/>
            <rFont val="Tahoma"/>
            <family val="2"/>
          </rPr>
          <t>Repay remaining principal at each prefix end, lock earlier solved rates, then extend.</t>
        </r>
      </text>
    </comment>
    <comment ref="B100" authorId="0" shapeId="0" xr:uid="{00000000-0006-0000-0400-00001A000000}">
      <text>
        <r>
          <rPr>
            <sz val="8"/>
            <color indexed="81"/>
            <rFont val="Tahoma"/>
            <family val="2"/>
          </rPr>
          <t>Each optional parameter is visible in IntelliSense; its value refers to the case input cell.</t>
        </r>
      </text>
    </comment>
    <comment ref="B103" authorId="0" shapeId="0" xr:uid="{00000000-0006-0000-0400-00001B000000}">
      <text>
        <r>
          <rPr>
            <sz val="8"/>
            <color indexed="81"/>
            <rFont val="Tahoma"/>
            <family val="2"/>
          </rPr>
          <t>EURIBOR12m plus a spread; principal is agreed at 5%.</t>
        </r>
      </text>
    </comment>
    <comment ref="B106" authorId="0" shapeId="0" xr:uid="{00000000-0006-0000-0400-00001C000000}">
      <text>
        <r>
          <rPr>
            <sz val="8"/>
            <color indexed="81"/>
            <rFont val="Tahoma"/>
            <family val="2"/>
          </rPr>
          <t>The contractual principal stays in the instrument.</t>
        </r>
      </text>
    </comment>
    <comment ref="B109" authorId="0" shapeId="0" xr:uid="{00000000-0006-0000-0400-00001D000000}">
      <text>
        <r>
          <rPr>
            <sz val="8"/>
            <color indexed="81"/>
            <rFont val="Tahoma"/>
            <family val="2"/>
          </rPr>
          <t>The case's discount choice selects an existing policy-configured pricer.</t>
        </r>
      </text>
    </comment>
    <comment ref="B112" authorId="0" shapeId="0" xr:uid="{00000000-0006-0000-0400-00001E000000}">
      <text>
        <r>
          <rPr>
            <sz val="8"/>
            <color indexed="81"/>
            <rFont val="Tahoma"/>
            <family val="2"/>
          </rPr>
          <t>Future receipt PV excludes the original principal advance.</t>
        </r>
      </text>
    </comment>
    <comment ref="B115" authorId="0" shapeId="0" xr:uid="{00000000-0006-0000-0400-00001F000000}">
      <text>
        <r>
          <rPr>
            <sz val="8"/>
            <color indexed="81"/>
            <rFont val="Tahoma"/>
            <family val="2"/>
          </rPr>
          <t>Repay remaining principal at each prefix end, lock earlier solved rates, then extend.</t>
        </r>
      </text>
    </comment>
    <comment ref="B123" authorId="0" shapeId="0" xr:uid="{00000000-0006-0000-0400-000020000000}">
      <text>
        <r>
          <rPr>
            <sz val="8"/>
            <color indexed="81"/>
            <rFont val="Tahoma"/>
            <family val="2"/>
          </rPr>
          <t>Fixed for 60 payments, then floating through maturity.</t>
        </r>
      </text>
    </comment>
    <comment ref="B126" authorId="0" shapeId="0" xr:uid="{00000000-0006-0000-0400-000021000000}">
      <text>
        <r>
          <rPr>
            <sz val="8"/>
            <color indexed="81"/>
            <rFont val="Tahoma"/>
            <family val="2"/>
          </rPr>
          <t>The contractual principal stays in the instrument.</t>
        </r>
      </text>
    </comment>
    <comment ref="B129" authorId="0" shapeId="0" xr:uid="{00000000-0006-0000-0400-000022000000}">
      <text>
        <r>
          <rPr>
            <sz val="8"/>
            <color indexed="81"/>
            <rFont val="Tahoma"/>
            <family val="2"/>
          </rPr>
          <t>The case's discount choice selects an existing policy-configured pricer.</t>
        </r>
      </text>
    </comment>
    <comment ref="B132" authorId="0" shapeId="0" xr:uid="{00000000-0006-0000-0400-000023000000}">
      <text>
        <r>
          <rPr>
            <sz val="8"/>
            <color indexed="81"/>
            <rFont val="Tahoma"/>
            <family val="2"/>
          </rPr>
          <t>Future receipt PV excludes the original principal advance.</t>
        </r>
      </text>
    </comment>
    <comment ref="B135" authorId="0" shapeId="0" xr:uid="{00000000-0006-0000-0400-000024000000}">
      <text>
        <r>
          <rPr>
            <sz val="8"/>
            <color indexed="81"/>
            <rFont val="Tahoma"/>
            <family val="2"/>
          </rPr>
          <t>Repay remaining principal at each prefix end, lock earlier solved rates, then extend.</t>
        </r>
      </text>
    </comment>
    <comment ref="B138" authorId="0" shapeId="0" xr:uid="{00000000-0006-0000-0400-000025000000}">
      <text>
        <r>
          <rPr>
            <sz val="8"/>
            <color indexed="81"/>
            <rFont val="Tahoma"/>
            <family val="2"/>
          </rPr>
          <t>Repay remaining principal at each prefix end, lock earlier solved rates, then extend.</t>
        </r>
      </text>
    </comment>
    <comment ref="B146" authorId="0" shapeId="0" xr:uid="{00000000-0006-0000-0400-000026000000}">
      <text>
        <r>
          <rPr>
            <sz val="8"/>
            <color indexed="81"/>
            <rFont val="Tahoma"/>
            <family val="2"/>
          </rPr>
          <t>Each optional parameter is visible in IntelliSense; its value refers to the case input cell.</t>
        </r>
      </text>
    </comment>
    <comment ref="B149" authorId="0" shapeId="0" xr:uid="{00000000-0006-0000-0400-000027000000}">
      <text>
        <r>
          <rPr>
            <sz val="8"/>
            <color indexed="81"/>
            <rFont val="Tahoma"/>
            <family val="2"/>
          </rPr>
          <t>Bounded projected coupons; fair rate is not supported.</t>
        </r>
      </text>
    </comment>
    <comment ref="B152" authorId="0" shapeId="0" xr:uid="{00000000-0006-0000-0400-000028000000}">
      <text>
        <r>
          <rPr>
            <sz val="8"/>
            <color indexed="81"/>
            <rFont val="Tahoma"/>
            <family val="2"/>
          </rPr>
          <t>The contractual principal stays in the instrument.</t>
        </r>
      </text>
    </comment>
    <comment ref="B155" authorId="0" shapeId="0" xr:uid="{00000000-0006-0000-0400-000029000000}">
      <text>
        <r>
          <rPr>
            <sz val="8"/>
            <color indexed="81"/>
            <rFont val="Tahoma"/>
            <family val="2"/>
          </rPr>
          <t>The case's discount choice selects an existing policy-configured pricer.</t>
        </r>
      </text>
    </comment>
    <comment ref="B158" authorId="0" shapeId="0" xr:uid="{00000000-0006-0000-0400-00002A000000}">
      <text>
        <r>
          <rPr>
            <sz val="8"/>
            <color indexed="81"/>
            <rFont val="Tahoma"/>
            <family val="2"/>
          </rPr>
          <t>Future receipt PV excludes the original principal advance.</t>
        </r>
      </text>
    </comment>
    <comment ref="B166" authorId="0" shapeId="0" xr:uid="{00000000-0006-0000-0400-00002B000000}">
      <text>
        <r>
          <rPr>
            <sz val="8"/>
            <color indexed="81"/>
            <rFont val="Tahoma"/>
            <family val="2"/>
          </rPr>
          <t>Each optional parameter is visible in IntelliSense; its value refers to the case input cell.</t>
        </r>
      </text>
    </comment>
    <comment ref="B169" authorId="0" shapeId="0" xr:uid="{00000000-0006-0000-0400-00002C000000}">
      <text>
        <r>
          <rPr>
            <sz val="8"/>
            <color indexed="81"/>
            <rFont val="Tahoma"/>
            <family val="2"/>
          </rPr>
          <t>Conditional prepayment reduces future principal and interest.</t>
        </r>
      </text>
    </comment>
    <comment ref="B172" authorId="0" shapeId="0" xr:uid="{00000000-0006-0000-0400-00002D000000}">
      <text>
        <r>
          <rPr>
            <sz val="8"/>
            <color indexed="81"/>
            <rFont val="Tahoma"/>
            <family val="2"/>
          </rPr>
          <t>The contractual principal stays in the instrument.</t>
        </r>
      </text>
    </comment>
    <comment ref="B175" authorId="0" shapeId="0" xr:uid="{00000000-0006-0000-0400-00002E000000}">
      <text>
        <r>
          <rPr>
            <sz val="8"/>
            <color indexed="81"/>
            <rFont val="Tahoma"/>
            <family val="2"/>
          </rPr>
          <t>The case's discount choice selects an existing policy-configured pricer.</t>
        </r>
      </text>
    </comment>
    <comment ref="B178" authorId="0" shapeId="0" xr:uid="{00000000-0006-0000-0400-00002F000000}">
      <text>
        <r>
          <rPr>
            <sz val="8"/>
            <color indexed="81"/>
            <rFont val="Tahoma"/>
            <family val="2"/>
          </rPr>
          <t>Future receipt PV excludes the original principal advance.</t>
        </r>
      </text>
    </comment>
    <comment ref="B181" authorId="0" shapeId="0" xr:uid="{00000000-0006-0000-0400-000030000000}">
      <text>
        <r>
          <rPr>
            <sz val="8"/>
            <color indexed="81"/>
            <rFont val="Tahoma"/>
            <family val="2"/>
          </rPr>
          <t>Repay remaining principal at each prefix end, lock earlier solved rates, then extend.</t>
        </r>
      </text>
    </comment>
    <comment ref="B189" authorId="0" shapeId="0" xr:uid="{00000000-0006-0000-0400-000031000000}">
      <text>
        <r>
          <rPr>
            <sz val="8"/>
            <color indexed="81"/>
            <rFont val="Tahoma"/>
            <family val="2"/>
          </rPr>
          <t>Each optional parameter is visible in IntelliSense; its value refers to the case input cell.</t>
        </r>
      </text>
    </comment>
    <comment ref="B192" authorId="0" shapeId="0" xr:uid="{00000000-0006-0000-0400-000032000000}">
      <text>
        <r>
          <rPr>
            <sz val="8"/>
            <color indexed="81"/>
            <rFont val="Tahoma"/>
            <family val="2"/>
          </rPr>
          <t>Survival and recovery use the illustrative CDS curve.</t>
        </r>
      </text>
    </comment>
    <comment ref="B195" authorId="0" shapeId="0" xr:uid="{00000000-0006-0000-0400-000033000000}">
      <text>
        <r>
          <rPr>
            <sz val="8"/>
            <color indexed="81"/>
            <rFont val="Tahoma"/>
            <family val="2"/>
          </rPr>
          <t>The contractual principal stays in the instrument.</t>
        </r>
      </text>
    </comment>
    <comment ref="B198" authorId="0" shapeId="0" xr:uid="{00000000-0006-0000-0400-000034000000}">
      <text>
        <r>
          <rPr>
            <sz val="8"/>
            <color indexed="81"/>
            <rFont val="Tahoma"/>
            <family val="2"/>
          </rPr>
          <t>The case's discount choice selects an existing policy-configured pricer.</t>
        </r>
      </text>
    </comment>
    <comment ref="B201" authorId="0" shapeId="0" xr:uid="{00000000-0006-0000-0400-000035000000}">
      <text>
        <r>
          <rPr>
            <sz val="8"/>
            <color indexed="81"/>
            <rFont val="Tahoma"/>
            <family val="2"/>
          </rPr>
          <t>Future receipt PV excludes the original principal advance.</t>
        </r>
      </text>
    </comment>
    <comment ref="B204" authorId="0" shapeId="0" xr:uid="{00000000-0006-0000-0400-000036000000}">
      <text>
        <r>
          <rPr>
            <sz val="8"/>
            <color indexed="81"/>
            <rFont val="Tahoma"/>
            <family val="2"/>
          </rPr>
          <t>Repay remaining principal at each prefix end, lock earlier solved rates, then extend.</t>
        </r>
      </text>
    </comment>
    <comment ref="B212" authorId="0" shapeId="0" xr:uid="{00000000-0006-0000-0400-000037000000}">
      <text>
        <r>
          <rPr>
            <sz val="8"/>
            <color indexed="81"/>
            <rFont val="Tahoma"/>
            <family val="2"/>
          </rPr>
          <t>Same fixed contract; a different pricer policy selects funding.</t>
        </r>
      </text>
    </comment>
    <comment ref="B215" authorId="0" shapeId="0" xr:uid="{00000000-0006-0000-0400-000038000000}">
      <text>
        <r>
          <rPr>
            <sz val="8"/>
            <color indexed="81"/>
            <rFont val="Tahoma"/>
            <family val="2"/>
          </rPr>
          <t>The contractual principal stays in the instrument.</t>
        </r>
      </text>
    </comment>
    <comment ref="B218" authorId="0" shapeId="0" xr:uid="{00000000-0006-0000-0400-000039000000}">
      <text>
        <r>
          <rPr>
            <sz val="8"/>
            <color indexed="81"/>
            <rFont val="Tahoma"/>
            <family val="2"/>
          </rPr>
          <t>The case's discount choice selects an existing policy-configured pricer.</t>
        </r>
      </text>
    </comment>
    <comment ref="B221" authorId="0" shapeId="0" xr:uid="{00000000-0006-0000-0400-00003A000000}">
      <text>
        <r>
          <rPr>
            <sz val="8"/>
            <color indexed="81"/>
            <rFont val="Tahoma"/>
            <family val="2"/>
          </rPr>
          <t>Future receipt PV excludes the original principal advance.</t>
        </r>
      </text>
    </comment>
    <comment ref="B224" authorId="0" shapeId="0" xr:uid="{00000000-0006-0000-0400-00003B000000}">
      <text>
        <r>
          <rPr>
            <sz val="8"/>
            <color indexed="81"/>
            <rFont val="Tahoma"/>
            <family val="2"/>
          </rPr>
          <t>Repay remaining principal at each prefix end, lock earlier solved rates, then extend.</t>
        </r>
      </text>
    </comment>
    <comment ref="B232" authorId="0" shapeId="0" xr:uid="{00000000-0006-0000-0400-00003C000000}">
      <text>
        <r>
          <rPr>
            <sz val="8"/>
            <color indexed="81"/>
            <rFont val="Tahoma"/>
            <family val="2"/>
          </rPr>
          <t>Each optional parameter is visible in IntelliSense; its value refers to the case input cell.</t>
        </r>
      </text>
    </comment>
    <comment ref="B235" authorId="0" shapeId="0" xr:uid="{00000000-0006-0000-0400-00003D000000}">
      <text>
        <r>
          <rPr>
            <sz val="8"/>
            <color indexed="81"/>
            <rFont val="Tahoma"/>
            <family val="2"/>
          </rPr>
          <t>Same floating contract; discount using FUNDING.</t>
        </r>
      </text>
    </comment>
    <comment ref="B238" authorId="0" shapeId="0" xr:uid="{00000000-0006-0000-0400-00003E000000}">
      <text>
        <r>
          <rPr>
            <sz val="8"/>
            <color indexed="81"/>
            <rFont val="Tahoma"/>
            <family val="2"/>
          </rPr>
          <t>The contractual principal stays in the instrument.</t>
        </r>
      </text>
    </comment>
    <comment ref="B241" authorId="0" shapeId="0" xr:uid="{00000000-0006-0000-0400-00003F000000}">
      <text>
        <r>
          <rPr>
            <sz val="8"/>
            <color indexed="81"/>
            <rFont val="Tahoma"/>
            <family val="2"/>
          </rPr>
          <t>The case's discount choice selects an existing policy-configured pricer.</t>
        </r>
      </text>
    </comment>
    <comment ref="B244" authorId="0" shapeId="0" xr:uid="{00000000-0006-0000-0400-000040000000}">
      <text>
        <r>
          <rPr>
            <sz val="8"/>
            <color indexed="81"/>
            <rFont val="Tahoma"/>
            <family val="2"/>
          </rPr>
          <t>Future receipt PV excludes the original principal advance.</t>
        </r>
      </text>
    </comment>
    <comment ref="B247" authorId="0" shapeId="0" xr:uid="{00000000-0006-0000-0400-000041000000}">
      <text>
        <r>
          <rPr>
            <sz val="8"/>
            <color indexed="81"/>
            <rFont val="Tahoma"/>
            <family val="2"/>
          </rPr>
          <t>Repay remaining principal at each prefix end, lock earlier solved rates, then extend.</t>
        </r>
      </text>
    </comment>
    <comment ref="B255" authorId="0" shapeId="0" xr:uid="{00000000-0006-0000-0400-000042000000}">
      <text>
        <r>
          <rPr>
            <sz val="8"/>
            <color indexed="81"/>
            <rFont val="Tahoma"/>
            <family val="2"/>
          </rPr>
          <t>Three consecutive fixed coupon segments.</t>
        </r>
      </text>
    </comment>
    <comment ref="B258" authorId="0" shapeId="0" xr:uid="{00000000-0006-0000-0400-000043000000}">
      <text>
        <r>
          <rPr>
            <sz val="8"/>
            <color indexed="81"/>
            <rFont val="Tahoma"/>
            <family val="2"/>
          </rPr>
          <t>The contractual principal stays in the instrument.</t>
        </r>
      </text>
    </comment>
    <comment ref="B261" authorId="0" shapeId="0" xr:uid="{00000000-0006-0000-0400-000044000000}">
      <text>
        <r>
          <rPr>
            <sz val="8"/>
            <color indexed="81"/>
            <rFont val="Tahoma"/>
            <family val="2"/>
          </rPr>
          <t>The case's discount choice selects an existing policy-configured pricer.</t>
        </r>
      </text>
    </comment>
    <comment ref="B264" authorId="0" shapeId="0" xr:uid="{00000000-0006-0000-0400-000045000000}">
      <text>
        <r>
          <rPr>
            <sz val="8"/>
            <color indexed="81"/>
            <rFont val="Tahoma"/>
            <family val="2"/>
          </rPr>
          <t>Future receipt PV excludes the original principal advance.</t>
        </r>
      </text>
    </comment>
    <comment ref="B267" authorId="0" shapeId="0" xr:uid="{00000000-0006-0000-0400-000046000000}">
      <text>
        <r>
          <rPr>
            <sz val="8"/>
            <color indexed="81"/>
            <rFont val="Tahoma"/>
            <family val="2"/>
          </rPr>
          <t>Repay remaining principal at each prefix end, lock earlier solved rates, then extend.</t>
        </r>
      </text>
    </comment>
    <comment ref="B270" authorId="0" shapeId="0" xr:uid="{00000000-0006-0000-0400-000047000000}">
      <text>
        <r>
          <rPr>
            <sz val="8"/>
            <color indexed="81"/>
            <rFont val="Tahoma"/>
            <family val="2"/>
          </rPr>
          <t>Repay remaining principal at each prefix end, lock earlier solved rates, then extend.</t>
        </r>
      </text>
    </comment>
    <comment ref="B273" authorId="0" shapeId="0" xr:uid="{00000000-0006-0000-0400-000048000000}">
      <text>
        <r>
          <rPr>
            <sz val="8"/>
            <color indexed="81"/>
            <rFont val="Tahoma"/>
            <family val="2"/>
          </rPr>
          <t>Repay remaining principal at each prefix end, lock earlier solved rates, then extend.</t>
        </r>
      </text>
    </comment>
    <comment ref="B281" authorId="0" shapeId="0" xr:uid="{00000000-0006-0000-0400-000049000000}">
      <text>
        <r>
          <rPr>
            <sz val="8"/>
            <color indexed="81"/>
            <rFont val="Tahoma"/>
            <family val="2"/>
          </rPr>
          <t>Two fixed segments followed by a floating margin.</t>
        </r>
      </text>
    </comment>
    <comment ref="B284" authorId="0" shapeId="0" xr:uid="{00000000-0006-0000-0400-00004A000000}">
      <text>
        <r>
          <rPr>
            <sz val="8"/>
            <color indexed="81"/>
            <rFont val="Tahoma"/>
            <family val="2"/>
          </rPr>
          <t>The contractual principal stays in the instrument.</t>
        </r>
      </text>
    </comment>
    <comment ref="B287" authorId="0" shapeId="0" xr:uid="{00000000-0006-0000-0400-00004B000000}">
      <text>
        <r>
          <rPr>
            <sz val="8"/>
            <color indexed="81"/>
            <rFont val="Tahoma"/>
            <family val="2"/>
          </rPr>
          <t>The case's discount choice selects an existing policy-configured pricer.</t>
        </r>
      </text>
    </comment>
    <comment ref="B290" authorId="0" shapeId="0" xr:uid="{00000000-0006-0000-0400-00004C000000}">
      <text>
        <r>
          <rPr>
            <sz val="8"/>
            <color indexed="81"/>
            <rFont val="Tahoma"/>
            <family val="2"/>
          </rPr>
          <t>Future receipt PV excludes the original principal advance.</t>
        </r>
      </text>
    </comment>
    <comment ref="B293" authorId="0" shapeId="0" xr:uid="{00000000-0006-0000-0400-00004D000000}">
      <text>
        <r>
          <rPr>
            <sz val="8"/>
            <color indexed="81"/>
            <rFont val="Tahoma"/>
            <family val="2"/>
          </rPr>
          <t>Repay remaining principal at each prefix end, lock earlier solved rates, then extend.</t>
        </r>
      </text>
    </comment>
    <comment ref="B296" authorId="0" shapeId="0" xr:uid="{00000000-0006-0000-0400-00004E000000}">
      <text>
        <r>
          <rPr>
            <sz val="8"/>
            <color indexed="81"/>
            <rFont val="Tahoma"/>
            <family val="2"/>
          </rPr>
          <t>Repay remaining principal at each prefix end, lock earlier solved rates, then extend.</t>
        </r>
      </text>
    </comment>
    <comment ref="B299" authorId="0" shapeId="0" xr:uid="{00000000-0006-0000-0400-00004F000000}">
      <text>
        <r>
          <rPr>
            <sz val="8"/>
            <color indexed="81"/>
            <rFont val="Tahoma"/>
            <family val="2"/>
          </rPr>
          <t>Repay remaining principal at each prefix end, lock earlier solved rates, then extend.</t>
        </r>
      </text>
    </comment>
    <comment ref="B319" authorId="0" shapeId="0" xr:uid="{00000000-0006-0000-0400-000050000000}">
      <text>
        <r>
          <rPr>
            <sz val="8"/>
            <color indexed="81"/>
            <rFont val="Tahoma"/>
            <family val="2"/>
          </rPr>
          <t>The dropdown on Results chooses an existing evaluation result.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<sst xmlns="http://schemas.openxmlformats.org/spreadsheetml/2006/main" count="571" uniqueCount="250">
  <si>
    <t>Loans · compare one change at a time</t>
  </si>
  <si>
    <t>Start with the French loan. Compare repayment, floating coupons, prepayment, credit and funding, then inspect stepped schedules.</t>
  </si>
  <si>
    <t>Before you start: load quantsupport.xll in 64-bit Windows Excel, then press Ctrl+Alt+F9. Results are blank until Excel calculates. Dates are ISO text; enter 4% as 0.04.</t>
  </si>
  <si>
    <t>Follow the numbered tabs from left to right</t>
  </si>
  <si>
    <t>1</t>
  </si>
  <si>
    <t>1 Inputs</t>
  </si>
  <si>
    <t>Review shared loan terms and position direction.</t>
  </si>
  <si>
    <t>2</t>
  </si>
  <si>
    <t>2 Cases</t>
  </si>
  <si>
    <t>Edit one case's coupon, settings or schedule in its own block.</t>
  </si>
  <si>
    <t>3</t>
  </si>
  <si>
    <t>3 Market</t>
  </si>
  <si>
    <t>Review ordinary projection, discount, funding and credit curves.</t>
  </si>
  <si>
    <t>4</t>
  </si>
  <si>
    <t>4 Build</t>
  </si>
  <si>
    <t>Follow the native construction and pricing steps.</t>
  </si>
  <si>
    <t>5</t>
  </si>
  <si>
    <t>5 Results</t>
  </si>
  <si>
    <t>Compare all cases; select one for the detail sheets.</t>
  </si>
  <si>
    <t>6</t>
  </si>
  <si>
    <t>6 Cashflows</t>
  </si>
  <si>
    <t>Inspect receipts for the selected case.</t>
  </si>
  <si>
    <t>7</t>
  </si>
  <si>
    <t>7 Risk</t>
  </si>
  <si>
    <t>Inspect risk for the same selected case.</t>
  </si>
  <si>
    <t>8</t>
  </si>
  <si>
    <t>8 Layouts</t>
  </si>
  <si>
    <t>Compare transpose and header options on a small curve table.</t>
  </si>
  <si>
    <t>Cell colours</t>
  </si>
  <si>
    <t>Blue · edit</t>
  </si>
  <si>
    <t>Assumptions and choices you can change.</t>
  </si>
  <si>
    <t>Green · read</t>
  </si>
  <si>
    <t>Financial results calculated by the add-in.</t>
  </si>
  <si>
    <t>Grey · build</t>
  </si>
  <si>
    <t>Object references on the Build tab. Each step shows its Excel formula below.</t>
  </si>
  <si>
    <t>Try this first</t>
  </si>
  <si>
    <t>1. Compare French, Bullet and 25% balloon on Results.</t>
  </si>
  <si>
    <t>2. Compare French with Funded fixed: only the discount policy changes.</t>
  </si>
  <si>
    <t>3. Choose Stepped then floating on Results; inspect its three fair-rate targets, Cashflows and Risk.</t>
  </si>
  <si>
    <t>Use Ctrl+A after a function name for parameter help. Inline hints use the optional Excel-DNA IntelliSense companion. The example assumptions are illustrative; tables and results use the native Rust pricers.</t>
  </si>
  <si>
    <t>Contract and position inputs</t>
  </si>
  <si>
    <t>Shared inputs apply to all cases. Blue cells are editable; each case's specific terms are on the next tab.</t>
  </si>
  <si>
    <t>← Start Here</t>
  </si>
  <si>
    <t>Next → 2 Cases</t>
  </si>
  <si>
    <t>Parameter</t>
  </si>
  <si>
    <t>Value</t>
  </si>
  <si>
    <t>Meaning</t>
  </si>
  <si>
    <t>Valuation date</t>
  </si>
  <si>
    <t>2026-02-24</t>
  </si>
  <si>
    <t>Valuation at origination supports the fair-rate solves.</t>
  </si>
  <si>
    <t>Principal (EUR)</t>
  </si>
  <si>
    <t>Contractual principal; the trade does not override it.</t>
  </si>
  <si>
    <t>Default fixed coupon</t>
  </si>
  <si>
    <t>Used by the fixed-rate cases unless overridden.</t>
  </si>
  <si>
    <t>Default floating spread</t>
  </si>
  <si>
    <t>Spread over EURIBOR12m.</t>
  </si>
  <si>
    <t>Start date</t>
  </si>
  <si>
    <t>Contractual origination date.</t>
  </si>
  <si>
    <t>Maturity date</t>
  </si>
  <si>
    <t>2056-02-24</t>
  </si>
  <si>
    <t>Thirty-year teaching example.</t>
  </si>
  <si>
    <t>Payment frequency</t>
  </si>
  <si>
    <t>Monthly</t>
  </si>
  <si>
    <t>Case schedule counts refer to payment periods.</t>
  </si>
  <si>
    <t>Day counter</t>
  </si>
  <si>
    <t>Actual360</t>
  </si>
  <si>
    <t>Contractual accrual and amortization convention.</t>
  </si>
  <si>
    <t>Currency</t>
  </si>
  <si>
    <t>EUR</t>
  </si>
  <si>
    <t>These market assumptions are configured in EUR.</t>
  </si>
  <si>
    <t>Position side</t>
  </si>
  <si>
    <t>Receive</t>
  </si>
  <si>
    <t>Lender receipts are positive; Pay reverses the direction.</t>
  </si>
  <si>
    <t>Requested measure</t>
  </si>
  <si>
    <t>What the result contains</t>
  </si>
  <si>
    <t>Monetary present value</t>
  </si>
  <si>
    <t>Cashflows</t>
  </si>
  <si>
    <t>Resolved payments and receipts</t>
  </si>
  <si>
    <t>Sensitivities</t>
  </si>
  <si>
    <t>Raw derivatives per unit market input</t>
  </si>
  <si>
    <t>Policy currency</t>
  </si>
  <si>
    <t>Ordinary discount index</t>
  </si>
  <si>
    <t>ESTR</t>
  </si>
  <si>
    <t>FUNDING</t>
  </si>
  <si>
    <t>Case inputs · one block per agreement</t>
  </si>
  <si>
    <t>Each block keeps its contractual settings and coupon schedule together. Discount-curve choice selects a pricer policy; it is never passed to the instrument.</t>
  </si>
  <si>
    <t>Next → 3 Market</t>
  </si>
  <si>
    <t>01. French</t>
  </si>
  <si>
    <t>Baseline monthly amortization.</t>
  </si>
  <si>
    <t>Coupon / spread</t>
  </si>
  <si>
    <t>Projection index</t>
  </si>
  <si>
    <t>Repayment</t>
  </si>
  <si>
    <t>Pricing discount curve</t>
  </si>
  <si>
    <t>French</t>
  </si>
  <si>
    <t>Contract settings: native defaults.</t>
  </si>
  <si>
    <t>Coupon schedule: use the scalar rate / spread and projection index above.</t>
  </si>
  <si>
    <t>See this case's results →</t>
  </si>
  <si>
    <t>02. Bullet</t>
  </si>
  <si>
    <t>Repay all principal at maturity.</t>
  </si>
  <si>
    <t>Bullet</t>
  </si>
  <si>
    <t>03. 25% balloon</t>
  </si>
  <si>
    <t>Reserve one quarter of principal for maturity.</t>
  </si>
  <si>
    <t>Balloon</t>
  </si>
  <si>
    <t>Setting</t>
  </si>
  <si>
    <t>Balloon fraction</t>
  </si>
  <si>
    <t>04. Floating</t>
  </si>
  <si>
    <t>EURIBOR12m plus a spread; principal is agreed at 5%.</t>
  </si>
  <si>
    <t>EURIBOR12m</t>
  </si>
  <si>
    <t>Amortization rate</t>
  </si>
  <si>
    <t>05. 5-year introductory fixed</t>
  </si>
  <si>
    <t>Fixed for 60 payments, then floating through maturity.</t>
  </si>
  <si>
    <t>Periods</t>
  </si>
  <si>
    <t>Rate / spread</t>
  </si>
  <si>
    <t>Market index</t>
  </si>
  <si>
    <t>Edit this schedule; the scalar above follows its first row. Blank index = fixed; blank final count fills maturity. Fair-rate targets follow segment order.</t>
  </si>
  <si>
    <t>06. Bounded floating</t>
  </si>
  <si>
    <t>Bounded projected coupons; fair rate is not supported.</t>
  </si>
  <si>
    <t>Floor</t>
  </si>
  <si>
    <t>Cap</t>
  </si>
  <si>
    <t>07. 15% annual CPR</t>
  </si>
  <si>
    <t>Conditional prepayment reduces future principal and interest.</t>
  </si>
  <si>
    <t>Annual CPR</t>
  </si>
  <si>
    <t>08. Borrower credit</t>
  </si>
  <si>
    <t>Survival and recovery use the illustrative CDS curve.</t>
  </si>
  <si>
    <t>Credit index</t>
  </si>
  <si>
    <t>Credit:BORROWER</t>
  </si>
  <si>
    <t>Recovery</t>
  </si>
  <si>
    <t>09. Funded fixed</t>
  </si>
  <si>
    <t>Same fixed contract; a different pricer policy selects funding.</t>
  </si>
  <si>
    <t>10. Funded floating</t>
  </si>
  <si>
    <t>Same floating contract; discount using FUNDING.</t>
  </si>
  <si>
    <t>11. Stepped fixed</t>
  </si>
  <si>
    <t>Three consecutive fixed coupon segments.</t>
  </si>
  <si>
    <t>12. Stepped then floating</t>
  </si>
  <si>
    <t>Two fixed segments followed by a floating margin.</t>
  </si>
  <si>
    <t>Market assumptions and curve construction</t>
  </si>
  <si>
    <t>Edit the blue rates. The steps below the input tables construct ordinary curves from those cells.</t>
  </si>
  <si>
    <t>Next → 4 Build</t>
  </si>
  <si>
    <t>Pillar</t>
  </si>
  <si>
    <t>ESTR zero</t>
  </si>
  <si>
    <t>EURIBOR12m zero</t>
  </si>
  <si>
    <t>Treasury spread</t>
  </si>
  <si>
    <t>0D</t>
  </si>
  <si>
    <t>5Y</t>
  </si>
  <si>
    <t>10Y</t>
  </si>
  <si>
    <t>30Y</t>
  </si>
  <si>
    <t>35Y</t>
  </si>
  <si>
    <t>These are illustrative continuous zero rates on Actual360. FUNDING is an ordinary composite curve: EURIBOR12m discount factors × treasury-spread discount factors.</t>
  </si>
  <si>
    <t>Borrower CDS quote</t>
  </si>
  <si>
    <t>Annual spread</t>
  </si>
  <si>
    <t>Cds_BORROWER_EUR_1Y</t>
  </si>
  <si>
    <t>Cds_BORROWER_EUR_3Y</t>
  </si>
  <si>
    <t>Cds_BORROWER_EUR_5Y</t>
  </si>
  <si>
    <t>Cds_BORROWER_EUR_10Y</t>
  </si>
  <si>
    <t>Cds_BORROWER_EUR_20Y</t>
  </si>
  <si>
    <t>Cds_BORROWER_EUR_30Y</t>
  </si>
  <si>
    <t>Cds_BORROWER_EUR_35Y</t>
  </si>
  <si>
    <t>Borrower recovery</t>
  </si>
  <si>
    <t>Fraction recovered on borrower default.</t>
  </si>
  <si>
    <t>Construction step</t>
  </si>
  <si>
    <t>Object reference</t>
  </si>
  <si>
    <t>Why it is needed</t>
  </si>
  <si>
    <t>1. Create root context</t>
  </si>
  <si>
    <t>Owns the market stores and date.</t>
  </si>
  <si>
    <t>2. Add borrower credit</t>
  </si>
  <si>
    <t>Independent CDS identifier and quote arrays.</t>
  </si>
  <si>
    <t>Add ESTR</t>
  </si>
  <si>
    <t>Every addition references the same root; fields are separate arrays.</t>
  </si>
  <si>
    <t>Add EURIBOR12m</t>
  </si>
  <si>
    <t>Add FUNDINGSPREAD</t>
  </si>
  <si>
    <t>Add funding curve</t>
  </si>
  <si>
    <t>Funding is an ordinary context curve.</t>
  </si>
  <si>
    <t>Build and evaluate the loan agreements</t>
  </si>
  <si>
    <t>Shared context and pricers come first. Each case then follows instrument → trade → pricer selection → evaluation. Use the links on Results to jump directly to a case.</t>
  </si>
  <si>
    <t>Next → 5 Results</t>
  </si>
  <si>
    <t>Step</t>
  </si>
  <si>
    <t>Purpose</t>
  </si>
  <si>
    <t>1. Initialize pricing context</t>
  </si>
  <si>
    <t>Constructs the projection, discount, funding and credit curves.</t>
  </si>
  <si>
    <t>2. ESTR discount policy</t>
  </si>
  <si>
    <t>Maps EUR to an ordinary market curve.</t>
  </si>
  <si>
    <t>3. ESTR loan pricer</t>
  </si>
  <si>
    <t>Same native LoanPricer, with an explicit policy.</t>
  </si>
  <si>
    <t>4. FUNDING discount policy</t>
  </si>
  <si>
    <t>5. FUNDING loan pricer</t>
  </si>
  <si>
    <t>6. Get ESTR for layout examples</t>
  </si>
  <si>
    <t>A small five-node table for the layout lesson.</t>
  </si>
  <si>
    <t>7.1 Fair-rate request 0</t>
  </si>
  <si>
    <t>Returns one requested segment's scalar; earlier segments are bootstrapped first.</t>
  </si>
  <si>
    <t>7.2 Fair-rate request 1</t>
  </si>
  <si>
    <t>7.3 Fair-rate request 2</t>
  </si>
  <si>
    <t>Edit these case inputs →</t>
  </si>
  <si>
    <t>1. Define this instrument</t>
  </si>
  <si>
    <t>2. Create this position</t>
  </si>
  <si>
    <t>The contractual principal stays in the instrument.</t>
  </si>
  <si>
    <t>3. Select explicit pricer</t>
  </si>
  <si>
    <t>The case's discount choice selects an existing policy-configured pricer.</t>
  </si>
  <si>
    <t>4. Evaluate value and tables</t>
  </si>
  <si>
    <t>Future receipt PV excludes the original principal advance.</t>
  </si>
  <si>
    <t>5.1 Solve segment 0</t>
  </si>
  <si>
    <t>Repay remaining principal at each prefix end, lock earlier solved rates, then extend.</t>
  </si>
  <si>
    <t>Named loan settings</t>
  </si>
  <si>
    <t>Each optional parameter is visible in IntelliSense; its value refers to the case input cell.</t>
  </si>
  <si>
    <t>5.2 Solve segment 1</t>
  </si>
  <si>
    <t>5.3 Solve segment 2</t>
  </si>
  <si>
    <t>Compare the loan results</t>
  </si>
  <si>
    <t>PV is future receipt value in EUR; net origination value subtracts principal. Fair-rate columns are annual decimal coupon / spread levels. Blank means that segment does not exist.</t>
  </si>
  <si>
    <t>Next → 6 Cashflows</t>
  </si>
  <si>
    <t>Case</t>
  </si>
  <si>
    <t>Receipt PV (EUR)</t>
  </si>
  <si>
    <t>PV less advance</t>
  </si>
  <si>
    <t>Fair segment 0</t>
  </si>
  <si>
    <t>Fair segment 1</t>
  </si>
  <si>
    <t>Fair segment 2</t>
  </si>
  <si>
    <t>Edit inputs</t>
  </si>
  <si>
    <t>Read build</t>
  </si>
  <si>
    <t>Edit →</t>
  </si>
  <si>
    <t>Build →</t>
  </si>
  <si>
    <t>25% balloon</t>
  </si>
  <si>
    <t>Floating</t>
  </si>
  <si>
    <t>5-year introductory fixed</t>
  </si>
  <si>
    <t>Bounded floating</t>
  </si>
  <si>
    <t>Bounded: n/a</t>
  </si>
  <si>
    <t>15% annual CPR</t>
  </si>
  <si>
    <t>Borrower credit</t>
  </si>
  <si>
    <t>Funded fixed</t>
  </si>
  <si>
    <t>Funded floating</t>
  </si>
  <si>
    <t>Stepped fixed</t>
  </si>
  <si>
    <t>Stepped then floating</t>
  </si>
  <si>
    <t>Case lookup for detail sheets</t>
  </si>
  <si>
    <t>Evaluation result</t>
  </si>
  <si>
    <t>Inspect one case</t>
  </si>
  <si>
    <t>Choose a case, then open Cashflows or Risk. Both detail sheets follow this selection.</t>
  </si>
  <si>
    <t>Selected case for detail sheets</t>
  </si>
  <si>
    <t>The dropdown on Results chooses an existing evaluation result.</t>
  </si>
  <si>
    <t>FairRate(index) returns one scalar. For mixed or stepped loans, earlier rate segments are solved and fixed before the selected segment is solved. The original agreement remains unchanged. Bounded coupons have no fair-rate output.</t>
  </si>
  <si>
    <t>Selected loan · expected receipts</t>
  </si>
  <si>
    <t>Signed, undiscounted receipts and payments in each row's currency. Loan legs 0 / 1 / 2 are scheduled receipts / prepayment / recovery.</t>
  </si>
  <si>
    <t>Next → 7 Risk</t>
  </si>
  <si>
    <t>Selected case</t>
  </si>
  <si>
    <t>Change case →</t>
  </si>
  <si>
    <t>Selected loan · market risk</t>
  </si>
  <si>
    <t>Raw value derivatives per unit input. Multiply a decimal-rate derivative by 0.0001 to estimate a +1 bp move. Preserve each factor's units.</t>
  </si>
  <si>
    <t>Next → 8 Layouts</t>
  </si>
  <si>
    <t>Table layout · transpose and headers</t>
  </si>
  <si>
    <t>The same small ESTR curve table is shown four ways. Header removal happens before transposition. All other report tables accept the same flags.</t>
  </si>
  <si>
    <t>Default · rows with headers</t>
  </si>
  <si>
    <t>Rows without headers</t>
  </si>
  <si>
    <t>Transposed with headers</t>
  </si>
  <si>
    <t>Transposed without headers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</si>
</sst>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Red]\(#,##0.00\)"/>
    <numFmt numFmtId="166" formatCode="0.0000"/>
  </numFmts>
  <fonts count="12" x14ac:knownFonts="1">
    <font>
      <sz val="11"/>
      <color theme="1"/>
      <name val="Calibri"/>
      <family val="2"/>
      <scheme val="minor"/>
    </font>
    <font>
      <sz val="11"/>
      <color rgb="FF273B4A"/>
      <name val="Calibri"/>
      <family val="2"/>
      <scheme val="minor"/>
    </font>
    <font>
      <b/>
      <sz val="20"/>
      <color rgb="FFFFFFFF"/>
      <name val="Calibri"/>
      <family val="2"/>
      <scheme val="minor"/>
    </font>
    <font>
      <sz val="11"/>
      <color rgb="FF526779"/>
      <name val="Calibri"/>
      <family val="2"/>
      <scheme val="minor"/>
    </font>
    <font>
      <b/>
      <sz val="12"/>
      <color rgb="FF17324D"/>
      <name val="Calibri"/>
      <family val="2"/>
      <scheme val="minor"/>
    </font>
    <font>
      <b/>
      <sz val="11"/>
      <color rgb="FFFFFFFF"/>
      <name val="Calibri"/>
      <family val="2"/>
      <scheme val="minor"/>
    </font>
    <font>
      <u/>
      <sz val="11"/>
      <color rgb="FF126B9A"/>
      <name val="Calibri"/>
      <family val="2"/>
      <scheme val="minor"/>
    </font>
    <font>
      <sz val="10"/>
      <color rgb="FF526779"/>
      <name val="Calibri"/>
      <family val="2"/>
      <scheme val="minor"/>
    </font>
    <font>
      <sz val="11"/>
      <color rgb="FF174EA6"/>
      <name val="Calibri"/>
      <family val="2"/>
      <scheme val="minor"/>
    </font>
    <font>
      <sz val="11"/>
      <color rgb="FF145C43"/>
      <name val="Calibri"/>
      <family val="2"/>
      <scheme val="minor"/>
    </font>
    <font>
      <sz val="9"/>
      <color rgb="FF526779"/>
      <name val="Consolas"/>
      <family val="2"/>
    </font>
    <font>
      <sz val="8"/>
      <color indexed="81"/>
      <name val="Tahoma"/>
      <family val="2"/>
    </font>
  </fonts>
  <fills count="9">
    <fill>
      <patternFill patternType="none"/>
    </fill>
    <fill>
      <patternFill patternType="gray125"/>
    </fill>
    <fill>
      <patternFill patternType="solid">
        <fgColor rgb="FF17324D"/>
        <bgColor indexed="64"/>
      </patternFill>
    </fill>
    <fill>
      <patternFill patternType="solid">
        <fgColor rgb="FFE5EDF2"/>
        <bgColor indexed="64"/>
      </patternFill>
    </fill>
    <fill>
      <patternFill patternType="solid">
        <fgColor rgb="FF176B75"/>
        <bgColor indexed="64"/>
      </patternFill>
    </fill>
    <fill>
      <patternFill patternType="solid">
        <fgColor rgb="FFE8F1FC"/>
        <bgColor indexed="64"/>
      </patternFill>
    </fill>
    <fill>
      <patternFill patternType="solid">
        <fgColor rgb="FFEAF5EF"/>
        <bgColor indexed="64"/>
      </patternFill>
    </fill>
    <fill>
      <patternFill patternType="solid">
        <fgColor rgb="FFF0F2F5"/>
        <bgColor indexed="64"/>
      </patternFill>
    </fill>
    <fill>
      <patternFill patternType="solid">
        <fgColor rgb="FFF7F9FB"/>
        <bgColor indexed="64"/>
      </patternFill>
    </fill>
  </fills>
  <borders count="3">
    <border>
      <left/>
      <right/>
      <top/>
      <bottom/>
      <diagonal/>
    </border>
    <border>
      <left/>
      <right/>
      <top/>
      <bottom style="thin">
        <color auto="1"/>
      </bottom>
      <diagonal/>
    </border>
    <border>
      <left style="thin">
        <color rgb="FFCBDBEE"/>
      </left>
      <right style="thin">
        <color rgb="FFCBDBEE"/>
      </right>
      <top style="thin">
        <color rgb="FFCBDBEE"/>
      </top>
      <bottom style="thin">
        <color rgb="FFCBDBEE"/>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4" fillId="3" borderId="0" xfId="0" applyFont="1" applyFill="1" applyAlignment="1">
      <alignment vertical="center" wrapText="1"/>
    </xf>
    <xf numFmtId="0" fontId="5" fillId="4" borderId="1" xfId="0" applyFont="1" applyFill="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5" borderId="2" xfId="0" applyFont="1" applyFill="1" applyBorder="1" applyAlignment="1">
      <alignment vertical="center" wrapText="1"/>
    </xf>
    <xf numFmtId="0" fontId="9" fillId="6" borderId="0" xfId="0" applyFont="1" applyFill="1" applyAlignment="1">
      <alignment vertical="center" wrapText="1"/>
    </xf>
    <xf numFmtId="0" fontId="10" fillId="7" borderId="0" xfId="0" applyFont="1" applyFill="1" applyAlignment="1">
      <alignment vertical="center" wrapText="1"/>
    </xf>
    <xf numFmtId="4" fontId="8" fillId="5" borderId="2" xfId="0" applyNumberFormat="1" applyFont="1" applyFill="1" applyBorder="1" applyAlignment="1">
      <alignment vertical="center" wrapText="1"/>
    </xf>
    <xf numFmtId="10" fontId="8" fillId="5" borderId="2" xfId="0" applyNumberFormat="1" applyFont="1" applyFill="1" applyBorder="1" applyAlignment="1">
      <alignment vertical="center" wrapText="1"/>
    </xf>
    <xf numFmtId="164" fontId="9" fillId="6" borderId="0" xfId="0" applyNumberFormat="1" applyFont="1" applyFill="1" applyAlignment="1">
      <alignment vertical="center" wrapText="1"/>
    </xf>
    <xf numFmtId="165" fontId="9" fillId="6" borderId="0" xfId="0" applyNumberFormat="1" applyFont="1" applyFill="1" applyAlignment="1">
      <alignment vertical="center" wrapText="1"/>
    </xf>
    <xf numFmtId="166" fontId="9" fillId="6" borderId="0" xfId="0" applyNumberFormat="1" applyFont="1" applyFill="1" applyAlignment="1">
      <alignment vertical="center" wrapText="1"/>
    </xf>
    <xf numFmtId="0" fontId="10" fillId="8" borderId="0" xfId="0" applyFont="1" applyFill="1" applyAlignment="1">
      <alignment vertical="top" wrapText="1"/>
    </xf>
    <xf numFmtId="0" fontId="4" fillId="3" borderId="0" xfId="0" applyFont="1" applyFill="1" applyAlignment="1">
      <alignment vertical="center" wrapText="1"/>
    </xf>
    <xf numFmtId="0" fontId="2" fillId="2" borderId="0" xfId="0" applyFont="1" applyFill="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7" fillId="0" borderId="0" xfId="0" applyFont="1" applyAlignment="1">
      <alignment vertical="center" wrapText="1"/>
    </xf>
    <xf numFmtId="0" fontId="9" fillId="6" borderId="0" xfId="0" applyFont="1" applyFill="1" applyAlignment="1">
      <alignment vertical="center" wrapText="1"/>
    </xf>
    <xf numFmtId="0" fontId="10" fillId="7" borderId="0" xfId="0" applyFont="1" applyFill="1" applyAlignment="1">
      <alignment vertical="center" wrapText="1"/>
    </xf>
    <xf numFmtId="0" fontId="5" fillId="4" borderId="1" xfId="0" applyFont="1" applyFill="1" applyBorder="1" applyAlignment="1">
      <alignment vertical="center" wrapText="1"/>
    </xf>
    <xf numFmtId="0" fontId="6" fillId="0" borderId="0" xfId="0" applyFont="1" applyAlignment="1">
      <alignment vertical="center" wrapText="1"/>
    </xf>
    <xf numFmtId="0" fontId="8" fillId="5"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1"/>
  <sheetViews>
    <sheetView showGridLines="0" zoomScale="90" zoomScaleNormal="90" workbookViewId="0">
      <pane ySplit="9" topLeftCell="A10" activePane="bottomLeft" state="frozen"/>
      <selection pane="bottomLeft" sqref="A1:F2"/>
    </sheetView>
  </sheetViews>
  <sheetFormatPr baseColWidth="10" defaultColWidth="9.140625" defaultRowHeight="26.1" customHeight="1" x14ac:dyDescent="0.25"/>
  <cols>
    <col min="1" max="1" width="8.7109375" style="1" customWidth="1"/>
    <col min="2" max="2" width="22.7109375" style="1" customWidth="1"/>
    <col min="3" max="3" width="17.7109375" style="1" customWidth="1"/>
    <col min="4" max="5" width="22.7109375" style="1" customWidth="1"/>
    <col min="6" max="6" width="18.7109375" style="1" customWidth="1"/>
  </cols>
  <sheetData>
    <row r="1" spans="1:6" ht="30" customHeight="1" x14ac:dyDescent="0.25">
      <c r="A1" s="16" t="s">
        <v>0</v>
      </c>
      <c r="B1" s="16"/>
      <c r="C1" s="16"/>
      <c r="D1" s="16"/>
      <c r="E1" s="16"/>
      <c r="F1" s="16"/>
    </row>
    <row r="2" spans="1:6" ht="30" customHeight="1" x14ac:dyDescent="0.25">
      <c r="A2" s="16"/>
      <c r="B2" s="16"/>
      <c r="C2" s="16"/>
      <c r="D2" s="16"/>
      <c r="E2" s="16"/>
      <c r="F2" s="16"/>
    </row>
    <row r="3" spans="1:6" ht="26.1" customHeight="1" x14ac:dyDescent="0.25">
      <c r="A3" s="17" t="s">
        <v>1</v>
      </c>
      <c r="B3" s="17"/>
      <c r="C3" s="17"/>
      <c r="D3" s="17"/>
      <c r="E3" s="17"/>
      <c r="F3" s="17"/>
    </row>
    <row r="4" spans="1:6" ht="26.1" customHeight="1" x14ac:dyDescent="0.25">
      <c r="A4" s="17"/>
      <c r="B4" s="17"/>
      <c r="C4" s="17"/>
      <c r="D4" s="17"/>
      <c r="E4" s="17"/>
      <c r="F4" s="17"/>
    </row>
    <row r="6" spans="1:6" ht="26.1" customHeight="1" x14ac:dyDescent="0.25">
      <c r="A6" s="15" t="s">
        <v>2</v>
      </c>
      <c r="B6" s="15"/>
      <c r="C6" s="15"/>
      <c r="D6" s="15"/>
      <c r="E6" s="15"/>
      <c r="F6" s="15"/>
    </row>
    <row r="7" spans="1:6" ht="26.1" customHeight="1" x14ac:dyDescent="0.25">
      <c r="A7" s="15"/>
      <c r="B7" s="15"/>
      <c r="C7" s="15"/>
      <c r="D7" s="15"/>
      <c r="E7" s="15"/>
      <c r="F7" s="15"/>
    </row>
    <row r="9" spans="1:6" ht="26.1" customHeight="1" x14ac:dyDescent="0.25">
      <c r="A9" s="22" t="s">
        <v>3</v>
      </c>
      <c r="B9" s="22"/>
      <c r="C9" s="22"/>
      <c r="D9" s="22"/>
      <c r="E9" s="22"/>
      <c r="F9" s="22"/>
    </row>
    <row r="10" spans="1:6" ht="33.950000000000003" customHeight="1" x14ac:dyDescent="0.25">
      <c r="A10" s="2" t="s">
        <v>4</v>
      </c>
      <c r="B10" s="23" t="s">
        <v>5</v>
      </c>
      <c r="C10" s="19"/>
      <c r="D10" s="18" t="s">
        <v>6</v>
      </c>
      <c r="E10" s="18"/>
      <c r="F10" s="18"/>
    </row>
    <row r="11" spans="1:6" ht="33.950000000000003" customHeight="1" x14ac:dyDescent="0.25">
      <c r="A11" s="2" t="s">
        <v>7</v>
      </c>
      <c r="B11" s="23" t="s">
        <v>8</v>
      </c>
      <c r="C11" s="19"/>
      <c r="D11" s="18" t="s">
        <v>9</v>
      </c>
      <c r="E11" s="18"/>
      <c r="F11" s="18"/>
    </row>
    <row r="12" spans="1:6" ht="33.950000000000003" customHeight="1" x14ac:dyDescent="0.25">
      <c r="A12" s="2" t="s">
        <v>10</v>
      </c>
      <c r="B12" s="23" t="s">
        <v>11</v>
      </c>
      <c r="C12" s="19"/>
      <c r="D12" s="18" t="s">
        <v>12</v>
      </c>
      <c r="E12" s="18"/>
      <c r="F12" s="18"/>
    </row>
    <row r="13" spans="1:6" ht="33.950000000000003" customHeight="1" x14ac:dyDescent="0.25">
      <c r="A13" s="2" t="s">
        <v>13</v>
      </c>
      <c r="B13" s="23" t="s">
        <v>14</v>
      </c>
      <c r="C13" s="19"/>
      <c r="D13" s="18" t="s">
        <v>15</v>
      </c>
      <c r="E13" s="18"/>
      <c r="F13" s="18"/>
    </row>
    <row r="14" spans="1:6" ht="33.950000000000003" customHeight="1" x14ac:dyDescent="0.25">
      <c r="A14" s="2" t="s">
        <v>16</v>
      </c>
      <c r="B14" s="23" t="s">
        <v>17</v>
      </c>
      <c r="C14" s="19"/>
      <c r="D14" s="18" t="s">
        <v>18</v>
      </c>
      <c r="E14" s="18"/>
      <c r="F14" s="18"/>
    </row>
    <row r="15" spans="1:6" ht="33.950000000000003" customHeight="1" x14ac:dyDescent="0.25">
      <c r="A15" s="2" t="s">
        <v>19</v>
      </c>
      <c r="B15" s="23" t="s">
        <v>20</v>
      </c>
      <c r="C15" s="19"/>
      <c r="D15" s="18" t="s">
        <v>21</v>
      </c>
      <c r="E15" s="18"/>
      <c r="F15" s="18"/>
    </row>
    <row r="16" spans="1:6" ht="33.950000000000003" customHeight="1" x14ac:dyDescent="0.25">
      <c r="A16" s="2" t="s">
        <v>22</v>
      </c>
      <c r="B16" s="23" t="s">
        <v>23</v>
      </c>
      <c r="C16" s="19"/>
      <c r="D16" s="18" t="s">
        <v>24</v>
      </c>
      <c r="E16" s="18"/>
      <c r="F16" s="18"/>
    </row>
    <row r="17" spans="1:6" ht="33.950000000000003" customHeight="1" x14ac:dyDescent="0.25">
      <c r="A17" s="2" t="s">
        <v>25</v>
      </c>
      <c r="B17" s="23" t="s">
        <v>26</v>
      </c>
      <c r="C17" s="19"/>
      <c r="D17" s="18" t="s">
        <v>27</v>
      </c>
      <c r="E17" s="18"/>
      <c r="F17" s="18"/>
    </row>
    <row r="20" spans="1:6" ht="26.1" customHeight="1" x14ac:dyDescent="0.25">
      <c r="A20" s="22" t="s">
        <v>28</v>
      </c>
      <c r="B20" s="22"/>
      <c r="C20" s="22"/>
      <c r="D20" s="22"/>
      <c r="E20" s="22"/>
      <c r="F20" s="22"/>
    </row>
    <row r="21" spans="1:6" ht="30" customHeight="1" x14ac:dyDescent="0.25">
      <c r="A21" s="24" t="s">
        <v>29</v>
      </c>
      <c r="B21" s="24"/>
      <c r="C21" s="24"/>
      <c r="D21" s="18" t="s">
        <v>30</v>
      </c>
      <c r="E21" s="18"/>
      <c r="F21" s="18"/>
    </row>
    <row r="22" spans="1:6" ht="30" customHeight="1" x14ac:dyDescent="0.25">
      <c r="A22" s="20" t="s">
        <v>31</v>
      </c>
      <c r="B22" s="20"/>
      <c r="C22" s="20"/>
      <c r="D22" s="18" t="s">
        <v>32</v>
      </c>
      <c r="E22" s="18"/>
      <c r="F22" s="18"/>
    </row>
    <row r="23" spans="1:6" ht="30" customHeight="1" x14ac:dyDescent="0.25">
      <c r="A23" s="21" t="s">
        <v>33</v>
      </c>
      <c r="B23" s="21"/>
      <c r="C23" s="21"/>
      <c r="D23" s="18" t="s">
        <v>34</v>
      </c>
      <c r="E23" s="18"/>
      <c r="F23" s="18"/>
    </row>
    <row r="25" spans="1:6" ht="26.1" customHeight="1" x14ac:dyDescent="0.25">
      <c r="A25" s="22" t="s">
        <v>35</v>
      </c>
      <c r="B25" s="22"/>
      <c r="C25" s="22"/>
      <c r="D25" s="22"/>
      <c r="E25" s="22"/>
      <c r="F25" s="22"/>
    </row>
    <row r="26" spans="1:6" ht="33.950000000000003" customHeight="1" x14ac:dyDescent="0.25">
      <c r="A26" s="18" t="s">
        <v>36</v>
      </c>
      <c r="B26" s="18"/>
      <c r="C26" s="18"/>
      <c r="D26" s="18"/>
      <c r="E26" s="18"/>
      <c r="F26" s="18"/>
    </row>
    <row r="27" spans="1:6" ht="33.950000000000003" customHeight="1" x14ac:dyDescent="0.25">
      <c r="A27" s="18" t="s">
        <v>37</v>
      </c>
      <c r="B27" s="18"/>
      <c r="C27" s="18"/>
      <c r="D27" s="18"/>
      <c r="E27" s="18"/>
      <c r="F27" s="18"/>
    </row>
    <row r="28" spans="1:6" ht="33.950000000000003" customHeight="1" x14ac:dyDescent="0.25">
      <c r="A28" s="18" t="s">
        <v>38</v>
      </c>
      <c r="B28" s="18"/>
      <c r="C28" s="18"/>
      <c r="D28" s="18"/>
      <c r="E28" s="18"/>
      <c r="F28" s="18"/>
    </row>
    <row r="30" spans="1:6" ht="26.1" customHeight="1" x14ac:dyDescent="0.25">
      <c r="A30" s="19" t="s">
        <v>39</v>
      </c>
      <c r="B30" s="19"/>
      <c r="C30" s="19"/>
      <c r="D30" s="19"/>
      <c r="E30" s="19"/>
      <c r="F30" s="19"/>
    </row>
    <row r="31" spans="1:6" ht="26.1" customHeight="1" x14ac:dyDescent="0.25">
      <c r="A31" s="19"/>
      <c r="B31" s="19"/>
      <c r="C31" s="19"/>
      <c r="D31" s="19"/>
      <c r="E31" s="19"/>
      <c r="F31" s="19"/>
    </row>
  </sheetData>
  <mergeCells count="32">
    <mergeCell ref="A1:F2"/>
    <mergeCell ref="A3:F4"/>
    <mergeCell ref="A6:F7"/>
    <mergeCell ref="A9:F9"/>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A20:F20"/>
    <mergeCell ref="A21:C21"/>
    <mergeCell ref="D21:F21"/>
    <mergeCell ref="A26:F26"/>
    <mergeCell ref="A27:F27"/>
    <mergeCell ref="A28:F28"/>
    <mergeCell ref="A30:F31"/>
    <mergeCell ref="A22:C22"/>
    <mergeCell ref="D22:F22"/>
    <mergeCell ref="A23:C23"/>
    <mergeCell ref="D23:F23"/>
    <mergeCell ref="A25:F25"/>
  </mergeCells>
  <hyperlinks>
    <hyperlink ref="B10" location="'1 Inputs'!A1" display="1 Inputs" xr:uid="{00000000-0004-0000-0000-000000000000}"/>
    <hyperlink ref="B11" location="'2 Cases'!A1" display="2 Cases" xr:uid="{00000000-0004-0000-0000-000001000000}"/>
    <hyperlink ref="B12" location="'3 Market'!A1" display="3 Market" xr:uid="{00000000-0004-0000-0000-000002000000}"/>
    <hyperlink ref="B13" location="'4 Build'!A1" display="4 Build" xr:uid="{00000000-0004-0000-0000-000003000000}"/>
    <hyperlink ref="B14" location="'5 Results'!A1" display="5 Results" xr:uid="{00000000-0004-0000-0000-000004000000}"/>
    <hyperlink ref="B15" location="'6 Cashflows'!A1" display="6 Cashflows" xr:uid="{00000000-0004-0000-0000-000005000000}"/>
    <hyperlink ref="B16" location="'7 Risk'!A1" display="7 Risk" xr:uid="{00000000-0004-0000-0000-000006000000}"/>
    <hyperlink ref="B17" location="'8 Layouts'!A1" display="8 Layouts" xr:uid="{00000000-0004-0000-0000-000007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7AB7"/>
    <pageSetUpPr fitToPage="1"/>
  </sheetPr>
  <dimension ref="A1:C29"/>
  <sheetViews>
    <sheetView showGridLines="0" zoomScale="85" zoomScaleNormal="85" workbookViewId="0">
      <pane xSplit="1" ySplit="6" topLeftCell="B7" activePane="bottomRight" state="frozen"/>
      <selection pane="topRight" activeCell="B1" sqref="B1"/>
      <selection pane="bottomLeft" activeCell="A7" sqref="A7"/>
      <selection pane="bottomRight" sqref="A1:C1"/>
    </sheetView>
  </sheetViews>
  <sheetFormatPr baseColWidth="10" defaultColWidth="9.140625" defaultRowHeight="24" customHeight="1" x14ac:dyDescent="0.25"/>
  <cols>
    <col min="1" max="1" width="34.7109375" style="1" customWidth="1"/>
    <col min="2" max="2" width="26.7109375" style="1" customWidth="1"/>
    <col min="3" max="3" width="62.7109375" style="1" customWidth="1"/>
  </cols>
  <sheetData>
    <row r="1" spans="1:3" ht="38.1" customHeight="1" x14ac:dyDescent="0.25">
      <c r="A1" s="16" t="s">
        <v>40</v>
      </c>
      <c r="B1" s="16"/>
      <c r="C1" s="16"/>
    </row>
    <row r="2" spans="1:3" ht="24" customHeight="1" x14ac:dyDescent="0.25">
      <c r="A2" s="17" t="s">
        <v>41</v>
      </c>
      <c r="B2" s="17"/>
      <c r="C2" s="17"/>
    </row>
    <row r="3" spans="1:3" ht="24" customHeight="1" x14ac:dyDescent="0.25">
      <c r="A3" s="17"/>
      <c r="B3" s="17"/>
      <c r="C3" s="17"/>
    </row>
    <row r="4" spans="1:3" ht="36" customHeight="1" x14ac:dyDescent="0.25">
      <c r="A4" s="4" t="s">
        <v>42</v>
      </c>
      <c r="C4" s="4" t="s">
        <v>43</v>
      </c>
    </row>
    <row r="6" spans="1:3" ht="36" customHeight="1" x14ac:dyDescent="0.25">
      <c r="A6" s="3" t="s">
        <v>44</v>
      </c>
      <c r="B6" s="3" t="s">
        <v>45</v>
      </c>
      <c r="C6" s="3" t="s">
        <v>46</v>
      </c>
    </row>
    <row r="7" spans="1:3" ht="32.1" customHeight="1" x14ac:dyDescent="0.25">
      <c r="A7" s="1" t="s">
        <v>47</v>
      </c>
      <c r="B7" s="6" t="s">
        <v>48</v>
      </c>
      <c r="C7" s="5" t="s">
        <v>49</v>
      </c>
    </row>
    <row r="8" spans="1:3" ht="32.1" customHeight="1" x14ac:dyDescent="0.25">
      <c r="A8" s="1" t="s">
        <v>50</v>
      </c>
      <c r="B8" s="9">
        <v>250000</v>
      </c>
      <c r="C8" s="5" t="s">
        <v>51</v>
      </c>
    </row>
    <row r="9" spans="1:3" ht="32.1" customHeight="1" x14ac:dyDescent="0.25">
      <c r="A9" s="1" t="s">
        <v>52</v>
      </c>
      <c r="B9" s="10">
        <v>0.06</v>
      </c>
      <c r="C9" s="5" t="s">
        <v>53</v>
      </c>
    </row>
    <row r="10" spans="1:3" ht="32.1" customHeight="1" x14ac:dyDescent="0.25">
      <c r="A10" s="1" t="s">
        <v>54</v>
      </c>
      <c r="B10" s="10">
        <v>0.01</v>
      </c>
      <c r="C10" s="5" t="s">
        <v>55</v>
      </c>
    </row>
    <row r="11" spans="1:3" ht="32.1" customHeight="1" x14ac:dyDescent="0.25">
      <c r="A11" s="1" t="s">
        <v>56</v>
      </c>
      <c r="B11" s="6" t="s">
        <v>48</v>
      </c>
      <c r="C11" s="5" t="s">
        <v>57</v>
      </c>
    </row>
    <row r="12" spans="1:3" ht="32.1" customHeight="1" x14ac:dyDescent="0.25">
      <c r="A12" s="1" t="s">
        <v>58</v>
      </c>
      <c r="B12" s="6" t="s">
        <v>59</v>
      </c>
      <c r="C12" s="5" t="s">
        <v>60</v>
      </c>
    </row>
    <row r="13" spans="1:3" ht="32.1" customHeight="1" x14ac:dyDescent="0.25">
      <c r="A13" s="1" t="s">
        <v>61</v>
      </c>
      <c r="B13" s="6" t="s">
        <v>62</v>
      </c>
      <c r="C13" s="5" t="s">
        <v>63</v>
      </c>
    </row>
    <row r="14" spans="1:3" ht="32.1" customHeight="1" x14ac:dyDescent="0.25">
      <c r="A14" s="1" t="s">
        <v>64</v>
      </c>
      <c r="B14" s="6" t="s">
        <v>65</v>
      </c>
      <c r="C14" s="5" t="s">
        <v>66</v>
      </c>
    </row>
    <row r="15" spans="1:3" ht="32.1" customHeight="1" x14ac:dyDescent="0.25">
      <c r="A15" s="1" t="s">
        <v>67</v>
      </c>
      <c r="B15" s="1" t="s">
        <v>68</v>
      </c>
      <c r="C15" s="5" t="s">
        <v>69</v>
      </c>
    </row>
    <row r="16" spans="1:3" ht="32.1" customHeight="1" x14ac:dyDescent="0.25">
      <c r="A16" s="1" t="s">
        <v>70</v>
      </c>
      <c r="B16" s="6" t="s">
        <v>71</v>
      </c>
      <c r="C16" s="5" t="s">
        <v>72</v>
      </c>
    </row>
    <row r="20" spans="1:3" ht="36" customHeight="1" x14ac:dyDescent="0.25">
      <c r="A20" s="3" t="s">
        <v>73</v>
      </c>
      <c r="B20" s="3" t="s">
        <v>74</v>
      </c>
      <c r="C20" s="3"/>
    </row>
    <row r="21" spans="1:3" ht="24" customHeight="1" x14ac:dyDescent="0.25">
      <c r="A21" s="1" t="s">
        <v>45</v>
      </c>
      <c r="B21" s="5" t="s">
        <v>75</v>
      </c>
    </row>
    <row r="22" spans="1:3" ht="24" customHeight="1" x14ac:dyDescent="0.25">
      <c r="A22" s="1" t="s">
        <v>76</v>
      </c>
      <c r="B22" s="5" t="s">
        <v>77</v>
      </c>
    </row>
    <row r="23" spans="1:3" ht="24" customHeight="1" x14ac:dyDescent="0.25">
      <c r="A23" s="1" t="s">
        <v>78</v>
      </c>
      <c r="B23" s="5" t="s">
        <v>79</v>
      </c>
    </row>
    <row r="27" spans="1:3" ht="36" customHeight="1" x14ac:dyDescent="0.25">
      <c r="A27" s="3" t="s">
        <v>80</v>
      </c>
      <c r="B27" s="3" t="s">
        <v>81</v>
      </c>
      <c r="C27" s="3"/>
    </row>
    <row r="28" spans="1:3" ht="24" customHeight="1" x14ac:dyDescent="0.25">
      <c r="A28" s="1" t="s">
        <v>68</v>
      </c>
      <c r="B28" s="6" t="s">
        <v>82</v>
      </c>
    </row>
    <row r="29" spans="1:3" ht="24" customHeight="1" x14ac:dyDescent="0.25">
      <c r="A29" s="1" t="s">
        <v>68</v>
      </c>
      <c r="B29" s="6" t="s">
        <v>83</v>
      </c>
    </row>
  </sheetData>
  <mergeCells count="2">
    <mergeCell ref="A1:C1"/>
    <mergeCell ref="A2:C3"/>
  </mergeCells>
  <hyperlinks>
    <hyperlink ref="A4" location="'Start Here'!A1" display="← Start Here" xr:uid="{00000000-0004-0000-0100-000000000000}"/>
    <hyperlink ref="C4" location="'2 Cases'!A1" display="Next → 2 Cases" xr:uid="{00000000-0004-0000-0100-000001000000}"/>
  </hyperlinks>
  <pageMargins left="0.3" right="0.3" top="0.4" bottom="0.4" header="0.3" footer="0.3"/>
  <pageSetup paperSize="9" fitToHeight="0" orientation="landscape"/>
  <headerFooter>
    <oddFooter>&amp;LQuantSupport&amp;CContract and position inputs&amp;R&amp;P / &amp;N</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37AB7"/>
    <pageSetUpPr fitToPage="1"/>
  </sheetPr>
  <dimension ref="A1:F139"/>
  <sheetViews>
    <sheetView showGridLines="0" zoomScale="85" zoomScaleNormal="85" workbookViewId="0">
      <pane ySplit="5" topLeftCell="A6" activePane="bottomLeft" state="frozen"/>
      <selection pane="bottomLeft" sqref="A1:F1"/>
    </sheetView>
  </sheetViews>
  <sheetFormatPr baseColWidth="10" defaultColWidth="9.140625" defaultRowHeight="24" customHeight="1" x14ac:dyDescent="0.25"/>
  <cols>
    <col min="1" max="1" width="26.7109375" style="1" customWidth="1"/>
    <col min="2" max="2" width="20.7109375" style="1" customWidth="1"/>
    <col min="3" max="3" width="24.7109375" style="1" customWidth="1"/>
    <col min="4" max="5" width="18.7109375" style="1" customWidth="1"/>
    <col min="6" max="6" width="22.7109375" style="1" customWidth="1"/>
  </cols>
  <sheetData>
    <row r="1" spans="1:6" ht="38.1" customHeight="1" x14ac:dyDescent="0.25">
      <c r="A1" s="16" t="s">
        <v>84</v>
      </c>
      <c r="B1" s="16"/>
      <c r="C1" s="16"/>
      <c r="D1" s="16"/>
      <c r="E1" s="16"/>
      <c r="F1" s="16"/>
    </row>
    <row r="2" spans="1:6" ht="24" customHeight="1" x14ac:dyDescent="0.25">
      <c r="A2" s="17" t="s">
        <v>85</v>
      </c>
      <c r="B2" s="17"/>
      <c r="C2" s="17"/>
      <c r="D2" s="17"/>
      <c r="E2" s="17"/>
      <c r="F2" s="17"/>
    </row>
    <row r="3" spans="1:6" ht="24" customHeight="1" x14ac:dyDescent="0.25">
      <c r="A3" s="17"/>
      <c r="B3" s="17"/>
      <c r="C3" s="17"/>
      <c r="D3" s="17"/>
      <c r="E3" s="17"/>
      <c r="F3" s="17"/>
    </row>
    <row r="4" spans="1:6" ht="36" customHeight="1" x14ac:dyDescent="0.25">
      <c r="A4" s="4" t="s">
        <v>42</v>
      </c>
      <c r="F4" s="4" t="s">
        <v>86</v>
      </c>
    </row>
    <row r="6" spans="1:6" ht="24" customHeight="1" x14ac:dyDescent="0.25">
      <c r="A6" s="15" t="s">
        <v>87</v>
      </c>
      <c r="B6" s="15"/>
      <c r="C6" s="15"/>
      <c r="D6" s="15"/>
      <c r="E6" s="15"/>
      <c r="F6" s="15"/>
    </row>
    <row r="7" spans="1:6" ht="24" customHeight="1" x14ac:dyDescent="0.25">
      <c r="A7" s="19" t="s">
        <v>88</v>
      </c>
      <c r="B7" s="19"/>
      <c r="C7" s="19"/>
      <c r="D7" s="19"/>
      <c r="E7" s="19"/>
      <c r="F7" s="19"/>
    </row>
    <row r="8" spans="1:6" ht="24" customHeight="1" x14ac:dyDescent="0.25">
      <c r="A8" s="1" t="s">
        <v>89</v>
      </c>
      <c r="B8" s="10">
        <f>Loan_FixedRate</f>
        <v>0.06</v>
      </c>
      <c r="C8" s="1" t="s">
        <v>90</v>
      </c>
      <c r="D8" s="6"/>
      <c r="E8" s="1" t="s">
        <v>91</v>
      </c>
      <c r="F8" s="6" t="s">
        <v>93</v>
      </c>
    </row>
    <row r="9" spans="1:6" ht="24" customHeight="1" x14ac:dyDescent="0.25">
      <c r="A9" s="1" t="s">
        <v>92</v>
      </c>
      <c r="B9" s="6" t="s">
        <v>82</v>
      </c>
    </row>
    <row r="11" spans="1:6" ht="24" customHeight="1" x14ac:dyDescent="0.25">
      <c r="A11" s="19" t="s">
        <v>94</v>
      </c>
      <c r="B11" s="19"/>
      <c r="C11" s="19"/>
      <c r="D11" s="19" t="s">
        <v>95</v>
      </c>
      <c r="E11" s="19"/>
      <c r="F11" s="19"/>
    </row>
    <row r="12" spans="1:6" ht="24" customHeight="1" x14ac:dyDescent="0.25">
      <c r="A12" s="19"/>
      <c r="B12" s="19"/>
      <c r="C12" s="19"/>
      <c r="D12" s="19"/>
      <c r="E12" s="19"/>
      <c r="F12" s="19"/>
    </row>
    <row r="14" spans="1:6" ht="24" customHeight="1" x14ac:dyDescent="0.25">
      <c r="A14" s="4" t="s">
        <v>96</v>
      </c>
    </row>
    <row r="16" spans="1:6" ht="24" customHeight="1" x14ac:dyDescent="0.25">
      <c r="A16" s="15" t="s">
        <v>97</v>
      </c>
      <c r="B16" s="15"/>
      <c r="C16" s="15"/>
      <c r="D16" s="15"/>
      <c r="E16" s="15"/>
      <c r="F16" s="15"/>
    </row>
    <row r="17" spans="1:6" ht="24" customHeight="1" x14ac:dyDescent="0.25">
      <c r="A17" s="19" t="s">
        <v>98</v>
      </c>
      <c r="B17" s="19"/>
      <c r="C17" s="19"/>
      <c r="D17" s="19"/>
      <c r="E17" s="19"/>
      <c r="F17" s="19"/>
    </row>
    <row r="18" spans="1:6" ht="24" customHeight="1" x14ac:dyDescent="0.25">
      <c r="A18" s="1" t="s">
        <v>89</v>
      </c>
      <c r="B18" s="10">
        <f>Loan_FixedRate</f>
        <v>0.06</v>
      </c>
      <c r="C18" s="1" t="s">
        <v>90</v>
      </c>
      <c r="D18" s="6"/>
      <c r="E18" s="1" t="s">
        <v>91</v>
      </c>
      <c r="F18" s="6" t="s">
        <v>99</v>
      </c>
    </row>
    <row r="19" spans="1:6" ht="24" customHeight="1" x14ac:dyDescent="0.25">
      <c r="A19" s="1" t="s">
        <v>92</v>
      </c>
      <c r="B19" s="6" t="s">
        <v>82</v>
      </c>
    </row>
    <row r="21" spans="1:6" ht="24" customHeight="1" x14ac:dyDescent="0.25">
      <c r="A21" s="19" t="s">
        <v>94</v>
      </c>
      <c r="B21" s="19"/>
      <c r="C21" s="19"/>
      <c r="D21" s="19" t="s">
        <v>95</v>
      </c>
      <c r="E21" s="19"/>
      <c r="F21" s="19"/>
    </row>
    <row r="22" spans="1:6" ht="24" customHeight="1" x14ac:dyDescent="0.25">
      <c r="A22" s="19"/>
      <c r="B22" s="19"/>
      <c r="C22" s="19"/>
      <c r="D22" s="19"/>
      <c r="E22" s="19"/>
      <c r="F22" s="19"/>
    </row>
    <row r="24" spans="1:6" ht="24" customHeight="1" x14ac:dyDescent="0.25">
      <c r="A24" s="4" t="s">
        <v>96</v>
      </c>
    </row>
    <row r="26" spans="1:6" ht="24" customHeight="1" x14ac:dyDescent="0.25">
      <c r="A26" s="15" t="s">
        <v>100</v>
      </c>
      <c r="B26" s="15"/>
      <c r="C26" s="15"/>
      <c r="D26" s="15"/>
      <c r="E26" s="15"/>
      <c r="F26" s="15"/>
    </row>
    <row r="27" spans="1:6" ht="24" customHeight="1" x14ac:dyDescent="0.25">
      <c r="A27" s="19" t="s">
        <v>101</v>
      </c>
      <c r="B27" s="19"/>
      <c r="C27" s="19"/>
      <c r="D27" s="19"/>
      <c r="E27" s="19"/>
      <c r="F27" s="19"/>
    </row>
    <row r="28" spans="1:6" ht="24" customHeight="1" x14ac:dyDescent="0.25">
      <c r="A28" s="1" t="s">
        <v>89</v>
      </c>
      <c r="B28" s="10">
        <f>Loan_FixedRate</f>
        <v>0.06</v>
      </c>
      <c r="C28" s="1" t="s">
        <v>90</v>
      </c>
      <c r="D28" s="6"/>
      <c r="E28" s="1" t="s">
        <v>91</v>
      </c>
      <c r="F28" s="6" t="s">
        <v>102</v>
      </c>
    </row>
    <row r="29" spans="1:6" ht="24" customHeight="1" x14ac:dyDescent="0.25">
      <c r="A29" s="1" t="s">
        <v>92</v>
      </c>
      <c r="B29" s="6" t="s">
        <v>82</v>
      </c>
    </row>
    <row r="31" spans="1:6" ht="24" customHeight="1" x14ac:dyDescent="0.25">
      <c r="A31" s="3" t="s">
        <v>103</v>
      </c>
      <c r="B31" s="3" t="s">
        <v>45</v>
      </c>
      <c r="D31" s="19" t="s">
        <v>95</v>
      </c>
      <c r="E31" s="19"/>
      <c r="F31" s="19"/>
    </row>
    <row r="32" spans="1:6" ht="24" customHeight="1" x14ac:dyDescent="0.25">
      <c r="A32" s="1" t="s">
        <v>104</v>
      </c>
      <c r="B32" s="10">
        <v>0.25</v>
      </c>
      <c r="D32" s="19"/>
      <c r="E32" s="19"/>
      <c r="F32" s="19"/>
    </row>
    <row r="34" spans="1:6" ht="24" customHeight="1" x14ac:dyDescent="0.25">
      <c r="A34" s="4" t="s">
        <v>96</v>
      </c>
    </row>
    <row r="36" spans="1:6" ht="24" customHeight="1" x14ac:dyDescent="0.25">
      <c r="A36" s="15" t="s">
        <v>105</v>
      </c>
      <c r="B36" s="15"/>
      <c r="C36" s="15"/>
      <c r="D36" s="15"/>
      <c r="E36" s="15"/>
      <c r="F36" s="15"/>
    </row>
    <row r="37" spans="1:6" ht="24" customHeight="1" x14ac:dyDescent="0.25">
      <c r="A37" s="19" t="s">
        <v>106</v>
      </c>
      <c r="B37" s="19"/>
      <c r="C37" s="19"/>
      <c r="D37" s="19"/>
      <c r="E37" s="19"/>
      <c r="F37" s="19"/>
    </row>
    <row r="38" spans="1:6" ht="24" customHeight="1" x14ac:dyDescent="0.25">
      <c r="A38" s="1" t="s">
        <v>89</v>
      </c>
      <c r="B38" s="10">
        <f>Loan_FloatingSpread</f>
        <v>0.01</v>
      </c>
      <c r="C38" s="1" t="s">
        <v>90</v>
      </c>
      <c r="D38" s="6" t="s">
        <v>107</v>
      </c>
      <c r="E38" s="1" t="s">
        <v>91</v>
      </c>
      <c r="F38" s="6" t="s">
        <v>93</v>
      </c>
    </row>
    <row r="39" spans="1:6" ht="24" customHeight="1" x14ac:dyDescent="0.25">
      <c r="A39" s="1" t="s">
        <v>92</v>
      </c>
      <c r="B39" s="6" t="s">
        <v>82</v>
      </c>
    </row>
    <row r="41" spans="1:6" ht="24" customHeight="1" x14ac:dyDescent="0.25">
      <c r="A41" s="3" t="s">
        <v>103</v>
      </c>
      <c r="B41" s="3" t="s">
        <v>45</v>
      </c>
      <c r="D41" s="19" t="s">
        <v>95</v>
      </c>
      <c r="E41" s="19"/>
      <c r="F41" s="19"/>
    </row>
    <row r="42" spans="1:6" ht="24" customHeight="1" x14ac:dyDescent="0.25">
      <c r="A42" s="1" t="s">
        <v>108</v>
      </c>
      <c r="B42" s="10">
        <v>0.05</v>
      </c>
      <c r="D42" s="19"/>
      <c r="E42" s="19"/>
      <c r="F42" s="19"/>
    </row>
    <row r="44" spans="1:6" ht="24" customHeight="1" x14ac:dyDescent="0.25">
      <c r="A44" s="4" t="s">
        <v>96</v>
      </c>
    </row>
    <row r="46" spans="1:6" ht="24" customHeight="1" x14ac:dyDescent="0.25">
      <c r="A46" s="15" t="s">
        <v>109</v>
      </c>
      <c r="B46" s="15"/>
      <c r="C46" s="15"/>
      <c r="D46" s="15"/>
      <c r="E46" s="15"/>
      <c r="F46" s="15"/>
    </row>
    <row r="47" spans="1:6" ht="24" customHeight="1" x14ac:dyDescent="0.25">
      <c r="A47" s="19" t="s">
        <v>110</v>
      </c>
      <c r="B47" s="19"/>
      <c r="C47" s="19"/>
      <c r="D47" s="19"/>
      <c r="E47" s="19"/>
      <c r="F47" s="19"/>
    </row>
    <row r="48" spans="1:6" ht="24" customHeight="1" x14ac:dyDescent="0.25">
      <c r="A48" s="1" t="s">
        <v>89</v>
      </c>
      <c r="B48" s="11">
        <f>E52</f>
        <v>0.04</v>
      </c>
      <c r="C48" s="1" t="s">
        <v>90</v>
      </c>
      <c r="D48" s="1" t="str">
        <f>IF(F52="","",F52)</f>
        <v/>
      </c>
      <c r="E48" s="1" t="s">
        <v>91</v>
      </c>
      <c r="F48" s="6" t="s">
        <v>93</v>
      </c>
    </row>
    <row r="49" spans="1:6" ht="24" customHeight="1" x14ac:dyDescent="0.25">
      <c r="A49" s="1" t="s">
        <v>92</v>
      </c>
      <c r="B49" s="6" t="s">
        <v>82</v>
      </c>
    </row>
    <row r="51" spans="1:6" ht="24" customHeight="1" x14ac:dyDescent="0.25">
      <c r="A51" s="19" t="s">
        <v>94</v>
      </c>
      <c r="B51" s="19"/>
      <c r="C51" s="19"/>
      <c r="D51" s="3" t="s">
        <v>111</v>
      </c>
      <c r="E51" s="3" t="s">
        <v>112</v>
      </c>
      <c r="F51" s="3" t="s">
        <v>113</v>
      </c>
    </row>
    <row r="52" spans="1:6" ht="24" customHeight="1" x14ac:dyDescent="0.25">
      <c r="A52" s="19"/>
      <c r="B52" s="19"/>
      <c r="C52" s="19"/>
      <c r="D52" s="6">
        <v>60</v>
      </c>
      <c r="E52" s="10">
        <v>0.04</v>
      </c>
      <c r="F52" s="6"/>
    </row>
    <row r="53" spans="1:6" ht="24" customHeight="1" x14ac:dyDescent="0.25">
      <c r="D53" s="6"/>
      <c r="E53" s="10">
        <f>Loan_FloatingSpread</f>
        <v>0.01</v>
      </c>
      <c r="F53" s="6" t="s">
        <v>107</v>
      </c>
    </row>
    <row r="56" spans="1:6" ht="24" customHeight="1" x14ac:dyDescent="0.25">
      <c r="D56" s="19" t="s">
        <v>114</v>
      </c>
      <c r="E56" s="19"/>
      <c r="F56" s="19"/>
    </row>
    <row r="57" spans="1:6" ht="24" customHeight="1" x14ac:dyDescent="0.25">
      <c r="D57" s="19"/>
      <c r="E57" s="19"/>
      <c r="F57" s="19"/>
    </row>
    <row r="58" spans="1:6" ht="24" customHeight="1" x14ac:dyDescent="0.25">
      <c r="A58" s="4" t="s">
        <v>96</v>
      </c>
    </row>
    <row r="60" spans="1:6" ht="24" customHeight="1" x14ac:dyDescent="0.25">
      <c r="A60" s="15" t="s">
        <v>115</v>
      </c>
      <c r="B60" s="15"/>
      <c r="C60" s="15"/>
      <c r="D60" s="15"/>
      <c r="E60" s="15"/>
      <c r="F60" s="15"/>
    </row>
    <row r="61" spans="1:6" ht="24" customHeight="1" x14ac:dyDescent="0.25">
      <c r="A61" s="19" t="s">
        <v>116</v>
      </c>
      <c r="B61" s="19"/>
      <c r="C61" s="19"/>
      <c r="D61" s="19"/>
      <c r="E61" s="19"/>
      <c r="F61" s="19"/>
    </row>
    <row r="62" spans="1:6" ht="24" customHeight="1" x14ac:dyDescent="0.25">
      <c r="A62" s="1" t="s">
        <v>89</v>
      </c>
      <c r="B62" s="10">
        <f>Loan_FloatingSpread</f>
        <v>0.01</v>
      </c>
      <c r="C62" s="1" t="s">
        <v>90</v>
      </c>
      <c r="D62" s="6" t="s">
        <v>107</v>
      </c>
      <c r="E62" s="1" t="s">
        <v>91</v>
      </c>
      <c r="F62" s="6" t="s">
        <v>93</v>
      </c>
    </row>
    <row r="63" spans="1:6" ht="24" customHeight="1" x14ac:dyDescent="0.25">
      <c r="A63" s="1" t="s">
        <v>92</v>
      </c>
      <c r="B63" s="6" t="s">
        <v>82</v>
      </c>
    </row>
    <row r="65" spans="1:6" ht="24" customHeight="1" x14ac:dyDescent="0.25">
      <c r="A65" s="3" t="s">
        <v>103</v>
      </c>
      <c r="B65" s="3" t="s">
        <v>45</v>
      </c>
      <c r="D65" s="19" t="s">
        <v>95</v>
      </c>
      <c r="E65" s="19"/>
      <c r="F65" s="19"/>
    </row>
    <row r="66" spans="1:6" ht="24" customHeight="1" x14ac:dyDescent="0.25">
      <c r="A66" s="1" t="s">
        <v>108</v>
      </c>
      <c r="B66" s="10">
        <v>0.05</v>
      </c>
      <c r="D66" s="19"/>
      <c r="E66" s="19"/>
      <c r="F66" s="19"/>
    </row>
    <row r="67" spans="1:6" ht="24" customHeight="1" x14ac:dyDescent="0.25">
      <c r="A67" s="1" t="s">
        <v>117</v>
      </c>
      <c r="B67" s="10">
        <v>0.02</v>
      </c>
    </row>
    <row r="68" spans="1:6" ht="24" customHeight="1" x14ac:dyDescent="0.25">
      <c r="A68" s="1" t="s">
        <v>118</v>
      </c>
      <c r="B68" s="10">
        <v>4.4999999999999998E-2</v>
      </c>
    </row>
    <row r="70" spans="1:6" ht="24" customHeight="1" x14ac:dyDescent="0.25">
      <c r="A70" s="4" t="s">
        <v>96</v>
      </c>
    </row>
    <row r="72" spans="1:6" ht="24" customHeight="1" x14ac:dyDescent="0.25">
      <c r="A72" s="15" t="s">
        <v>119</v>
      </c>
      <c r="B72" s="15"/>
      <c r="C72" s="15"/>
      <c r="D72" s="15"/>
      <c r="E72" s="15"/>
      <c r="F72" s="15"/>
    </row>
    <row r="73" spans="1:6" ht="24" customHeight="1" x14ac:dyDescent="0.25">
      <c r="A73" s="19" t="s">
        <v>120</v>
      </c>
      <c r="B73" s="19"/>
      <c r="C73" s="19"/>
      <c r="D73" s="19"/>
      <c r="E73" s="19"/>
      <c r="F73" s="19"/>
    </row>
    <row r="74" spans="1:6" ht="24" customHeight="1" x14ac:dyDescent="0.25">
      <c r="A74" s="1" t="s">
        <v>89</v>
      </c>
      <c r="B74" s="10">
        <f>Loan_FixedRate</f>
        <v>0.06</v>
      </c>
      <c r="C74" s="1" t="s">
        <v>90</v>
      </c>
      <c r="D74" s="6"/>
      <c r="E74" s="1" t="s">
        <v>91</v>
      </c>
      <c r="F74" s="6" t="s">
        <v>93</v>
      </c>
    </row>
    <row r="75" spans="1:6" ht="24" customHeight="1" x14ac:dyDescent="0.25">
      <c r="A75" s="1" t="s">
        <v>92</v>
      </c>
      <c r="B75" s="6" t="s">
        <v>82</v>
      </c>
    </row>
    <row r="77" spans="1:6" ht="24" customHeight="1" x14ac:dyDescent="0.25">
      <c r="A77" s="3" t="s">
        <v>103</v>
      </c>
      <c r="B77" s="3" t="s">
        <v>45</v>
      </c>
      <c r="D77" s="19" t="s">
        <v>95</v>
      </c>
      <c r="E77" s="19"/>
      <c r="F77" s="19"/>
    </row>
    <row r="78" spans="1:6" ht="24" customHeight="1" x14ac:dyDescent="0.25">
      <c r="A78" s="1" t="s">
        <v>121</v>
      </c>
      <c r="B78" s="10">
        <v>0.15</v>
      </c>
      <c r="D78" s="19"/>
      <c r="E78" s="19"/>
      <c r="F78" s="19"/>
    </row>
    <row r="80" spans="1:6" ht="24" customHeight="1" x14ac:dyDescent="0.25">
      <c r="A80" s="4" t="s">
        <v>96</v>
      </c>
    </row>
    <row r="82" spans="1:6" ht="24" customHeight="1" x14ac:dyDescent="0.25">
      <c r="A82" s="15" t="s">
        <v>122</v>
      </c>
      <c r="B82" s="15"/>
      <c r="C82" s="15"/>
      <c r="D82" s="15"/>
      <c r="E82" s="15"/>
      <c r="F82" s="15"/>
    </row>
    <row r="83" spans="1:6" ht="24" customHeight="1" x14ac:dyDescent="0.25">
      <c r="A83" s="19" t="s">
        <v>123</v>
      </c>
      <c r="B83" s="19"/>
      <c r="C83" s="19"/>
      <c r="D83" s="19"/>
      <c r="E83" s="19"/>
      <c r="F83" s="19"/>
    </row>
    <row r="84" spans="1:6" ht="24" customHeight="1" x14ac:dyDescent="0.25">
      <c r="A84" s="1" t="s">
        <v>89</v>
      </c>
      <c r="B84" s="10">
        <f>Loan_FixedRate</f>
        <v>0.06</v>
      </c>
      <c r="C84" s="1" t="s">
        <v>90</v>
      </c>
      <c r="D84" s="6"/>
      <c r="E84" s="1" t="s">
        <v>91</v>
      </c>
      <c r="F84" s="6" t="s">
        <v>93</v>
      </c>
    </row>
    <row r="85" spans="1:6" ht="24" customHeight="1" x14ac:dyDescent="0.25">
      <c r="A85" s="1" t="s">
        <v>92</v>
      </c>
      <c r="B85" s="6" t="s">
        <v>82</v>
      </c>
    </row>
    <row r="87" spans="1:6" ht="24" customHeight="1" x14ac:dyDescent="0.25">
      <c r="A87" s="3" t="s">
        <v>103</v>
      </c>
      <c r="B87" s="3" t="s">
        <v>45</v>
      </c>
      <c r="D87" s="19" t="s">
        <v>95</v>
      </c>
      <c r="E87" s="19"/>
      <c r="F87" s="19"/>
    </row>
    <row r="88" spans="1:6" ht="24" customHeight="1" x14ac:dyDescent="0.25">
      <c r="A88" s="1" t="s">
        <v>124</v>
      </c>
      <c r="B88" s="6" t="s">
        <v>125</v>
      </c>
      <c r="D88" s="19"/>
      <c r="E88" s="19"/>
      <c r="F88" s="19"/>
    </row>
    <row r="89" spans="1:6" ht="24" customHeight="1" x14ac:dyDescent="0.25">
      <c r="A89" s="1" t="s">
        <v>126</v>
      </c>
      <c r="B89" s="10">
        <f>Loan_Recovery</f>
        <v>0.4</v>
      </c>
    </row>
    <row r="91" spans="1:6" ht="24" customHeight="1" x14ac:dyDescent="0.25">
      <c r="A91" s="4" t="s">
        <v>96</v>
      </c>
    </row>
    <row r="93" spans="1:6" ht="24" customHeight="1" x14ac:dyDescent="0.25">
      <c r="A93" s="15" t="s">
        <v>127</v>
      </c>
      <c r="B93" s="15"/>
      <c r="C93" s="15"/>
      <c r="D93" s="15"/>
      <c r="E93" s="15"/>
      <c r="F93" s="15"/>
    </row>
    <row r="94" spans="1:6" ht="24" customHeight="1" x14ac:dyDescent="0.25">
      <c r="A94" s="19" t="s">
        <v>128</v>
      </c>
      <c r="B94" s="19"/>
      <c r="C94" s="19"/>
      <c r="D94" s="19"/>
      <c r="E94" s="19"/>
      <c r="F94" s="19"/>
    </row>
    <row r="95" spans="1:6" ht="24" customHeight="1" x14ac:dyDescent="0.25">
      <c r="A95" s="1" t="s">
        <v>89</v>
      </c>
      <c r="B95" s="10">
        <f>Loan_FixedRate</f>
        <v>0.06</v>
      </c>
      <c r="C95" s="1" t="s">
        <v>90</v>
      </c>
      <c r="D95" s="6"/>
      <c r="E95" s="1" t="s">
        <v>91</v>
      </c>
      <c r="F95" s="6" t="s">
        <v>93</v>
      </c>
    </row>
    <row r="96" spans="1:6" ht="24" customHeight="1" x14ac:dyDescent="0.25">
      <c r="A96" s="1" t="s">
        <v>92</v>
      </c>
      <c r="B96" s="6" t="s">
        <v>83</v>
      </c>
    </row>
    <row r="98" spans="1:6" ht="24" customHeight="1" x14ac:dyDescent="0.25">
      <c r="A98" s="19" t="s">
        <v>94</v>
      </c>
      <c r="B98" s="19"/>
      <c r="C98" s="19"/>
      <c r="D98" s="19" t="s">
        <v>95</v>
      </c>
      <c r="E98" s="19"/>
      <c r="F98" s="19"/>
    </row>
    <row r="99" spans="1:6" ht="24" customHeight="1" x14ac:dyDescent="0.25">
      <c r="A99" s="19"/>
      <c r="B99" s="19"/>
      <c r="C99" s="19"/>
      <c r="D99" s="19"/>
      <c r="E99" s="19"/>
      <c r="F99" s="19"/>
    </row>
    <row r="101" spans="1:6" ht="24" customHeight="1" x14ac:dyDescent="0.25">
      <c r="A101" s="4" t="s">
        <v>96</v>
      </c>
    </row>
    <row r="103" spans="1:6" ht="24" customHeight="1" x14ac:dyDescent="0.25">
      <c r="A103" s="15" t="s">
        <v>129</v>
      </c>
      <c r="B103" s="15"/>
      <c r="C103" s="15"/>
      <c r="D103" s="15"/>
      <c r="E103" s="15"/>
      <c r="F103" s="15"/>
    </row>
    <row r="104" spans="1:6" ht="24" customHeight="1" x14ac:dyDescent="0.25">
      <c r="A104" s="19" t="s">
        <v>130</v>
      </c>
      <c r="B104" s="19"/>
      <c r="C104" s="19"/>
      <c r="D104" s="19"/>
      <c r="E104" s="19"/>
      <c r="F104" s="19"/>
    </row>
    <row r="105" spans="1:6" ht="24" customHeight="1" x14ac:dyDescent="0.25">
      <c r="A105" s="1" t="s">
        <v>89</v>
      </c>
      <c r="B105" s="10">
        <f>Loan_FloatingSpread</f>
        <v>0.01</v>
      </c>
      <c r="C105" s="1" t="s">
        <v>90</v>
      </c>
      <c r="D105" s="6" t="s">
        <v>107</v>
      </c>
      <c r="E105" s="1" t="s">
        <v>91</v>
      </c>
      <c r="F105" s="6" t="s">
        <v>93</v>
      </c>
    </row>
    <row r="106" spans="1:6" ht="24" customHeight="1" x14ac:dyDescent="0.25">
      <c r="A106" s="1" t="s">
        <v>92</v>
      </c>
      <c r="B106" s="6" t="s">
        <v>83</v>
      </c>
    </row>
    <row r="108" spans="1:6" ht="24" customHeight="1" x14ac:dyDescent="0.25">
      <c r="A108" s="3" t="s">
        <v>103</v>
      </c>
      <c r="B108" s="3" t="s">
        <v>45</v>
      </c>
      <c r="D108" s="19" t="s">
        <v>95</v>
      </c>
      <c r="E108" s="19"/>
      <c r="F108" s="19"/>
    </row>
    <row r="109" spans="1:6" ht="24" customHeight="1" x14ac:dyDescent="0.25">
      <c r="A109" s="1" t="s">
        <v>108</v>
      </c>
      <c r="B109" s="10">
        <v>0.05</v>
      </c>
      <c r="D109" s="19"/>
      <c r="E109" s="19"/>
      <c r="F109" s="19"/>
    </row>
    <row r="111" spans="1:6" ht="24" customHeight="1" x14ac:dyDescent="0.25">
      <c r="A111" s="4" t="s">
        <v>96</v>
      </c>
    </row>
    <row r="113" spans="1:6" ht="24" customHeight="1" x14ac:dyDescent="0.25">
      <c r="A113" s="15" t="s">
        <v>131</v>
      </c>
      <c r="B113" s="15"/>
      <c r="C113" s="15"/>
      <c r="D113" s="15"/>
      <c r="E113" s="15"/>
      <c r="F113" s="15"/>
    </row>
    <row r="114" spans="1:6" ht="24" customHeight="1" x14ac:dyDescent="0.25">
      <c r="A114" s="19" t="s">
        <v>132</v>
      </c>
      <c r="B114" s="19"/>
      <c r="C114" s="19"/>
      <c r="D114" s="19"/>
      <c r="E114" s="19"/>
      <c r="F114" s="19"/>
    </row>
    <row r="115" spans="1:6" ht="24" customHeight="1" x14ac:dyDescent="0.25">
      <c r="A115" s="1" t="s">
        <v>89</v>
      </c>
      <c r="B115" s="11">
        <f>E119</f>
        <v>0.03</v>
      </c>
      <c r="C115" s="1" t="s">
        <v>90</v>
      </c>
      <c r="D115" s="1" t="str">
        <f>IF(F119="","",F119)</f>
        <v/>
      </c>
      <c r="E115" s="1" t="s">
        <v>91</v>
      </c>
      <c r="F115" s="6" t="s">
        <v>93</v>
      </c>
    </row>
    <row r="116" spans="1:6" ht="24" customHeight="1" x14ac:dyDescent="0.25">
      <c r="A116" s="1" t="s">
        <v>92</v>
      </c>
      <c r="B116" s="6" t="s">
        <v>82</v>
      </c>
    </row>
    <row r="118" spans="1:6" ht="24" customHeight="1" x14ac:dyDescent="0.25">
      <c r="A118" s="19" t="s">
        <v>94</v>
      </c>
      <c r="B118" s="19"/>
      <c r="C118" s="19"/>
      <c r="D118" s="3" t="s">
        <v>111</v>
      </c>
      <c r="E118" s="3" t="s">
        <v>112</v>
      </c>
      <c r="F118" s="3" t="s">
        <v>113</v>
      </c>
    </row>
    <row r="119" spans="1:6" ht="24" customHeight="1" x14ac:dyDescent="0.25">
      <c r="A119" s="19"/>
      <c r="B119" s="19"/>
      <c r="C119" s="19"/>
      <c r="D119" s="6">
        <v>60</v>
      </c>
      <c r="E119" s="10">
        <v>0.03</v>
      </c>
      <c r="F119" s="6"/>
    </row>
    <row r="120" spans="1:6" ht="24" customHeight="1" x14ac:dyDescent="0.25">
      <c r="D120" s="6">
        <v>60</v>
      </c>
      <c r="E120" s="10">
        <v>0.04</v>
      </c>
      <c r="F120" s="6"/>
    </row>
    <row r="121" spans="1:6" ht="24" customHeight="1" x14ac:dyDescent="0.25">
      <c r="D121" s="6"/>
      <c r="E121" s="10">
        <v>0.05</v>
      </c>
      <c r="F121" s="6"/>
    </row>
    <row r="123" spans="1:6" ht="24" customHeight="1" x14ac:dyDescent="0.25">
      <c r="D123" s="19" t="s">
        <v>114</v>
      </c>
      <c r="E123" s="19"/>
      <c r="F123" s="19"/>
    </row>
    <row r="124" spans="1:6" ht="24" customHeight="1" x14ac:dyDescent="0.25">
      <c r="D124" s="19"/>
      <c r="E124" s="19"/>
      <c r="F124" s="19"/>
    </row>
    <row r="125" spans="1:6" ht="24" customHeight="1" x14ac:dyDescent="0.25">
      <c r="A125" s="4" t="s">
        <v>96</v>
      </c>
    </row>
    <row r="127" spans="1:6" ht="24" customHeight="1" x14ac:dyDescent="0.25">
      <c r="A127" s="15" t="s">
        <v>133</v>
      </c>
      <c r="B127" s="15"/>
      <c r="C127" s="15"/>
      <c r="D127" s="15"/>
      <c r="E127" s="15"/>
      <c r="F127" s="15"/>
    </row>
    <row r="128" spans="1:6" ht="24" customHeight="1" x14ac:dyDescent="0.25">
      <c r="A128" s="19" t="s">
        <v>134</v>
      </c>
      <c r="B128" s="19"/>
      <c r="C128" s="19"/>
      <c r="D128" s="19"/>
      <c r="E128" s="19"/>
      <c r="F128" s="19"/>
    </row>
    <row r="129" spans="1:6" ht="24" customHeight="1" x14ac:dyDescent="0.25">
      <c r="A129" s="1" t="s">
        <v>89</v>
      </c>
      <c r="B129" s="11">
        <f>E133</f>
        <v>0.03</v>
      </c>
      <c r="C129" s="1" t="s">
        <v>90</v>
      </c>
      <c r="D129" s="1" t="str">
        <f>IF(F133="","",F133)</f>
        <v/>
      </c>
      <c r="E129" s="1" t="s">
        <v>91</v>
      </c>
      <c r="F129" s="6" t="s">
        <v>93</v>
      </c>
    </row>
    <row r="130" spans="1:6" ht="24" customHeight="1" x14ac:dyDescent="0.25">
      <c r="A130" s="1" t="s">
        <v>92</v>
      </c>
      <c r="B130" s="6" t="s">
        <v>82</v>
      </c>
    </row>
    <row r="132" spans="1:6" ht="24" customHeight="1" x14ac:dyDescent="0.25">
      <c r="A132" s="19" t="s">
        <v>94</v>
      </c>
      <c r="B132" s="19"/>
      <c r="C132" s="19"/>
      <c r="D132" s="3" t="s">
        <v>111</v>
      </c>
      <c r="E132" s="3" t="s">
        <v>112</v>
      </c>
      <c r="F132" s="3" t="s">
        <v>113</v>
      </c>
    </row>
    <row r="133" spans="1:6" ht="24" customHeight="1" x14ac:dyDescent="0.25">
      <c r="A133" s="19"/>
      <c r="B133" s="19"/>
      <c r="C133" s="19"/>
      <c r="D133" s="6">
        <v>60</v>
      </c>
      <c r="E133" s="10">
        <v>0.03</v>
      </c>
      <c r="F133" s="6"/>
    </row>
    <row r="134" spans="1:6" ht="24" customHeight="1" x14ac:dyDescent="0.25">
      <c r="D134" s="6">
        <v>60</v>
      </c>
      <c r="E134" s="10">
        <v>0.04</v>
      </c>
      <c r="F134" s="6"/>
    </row>
    <row r="135" spans="1:6" ht="24" customHeight="1" x14ac:dyDescent="0.25">
      <c r="D135" s="6"/>
      <c r="E135" s="10">
        <v>0.01</v>
      </c>
      <c r="F135" s="6" t="s">
        <v>107</v>
      </c>
    </row>
    <row r="137" spans="1:6" ht="24" customHeight="1" x14ac:dyDescent="0.25">
      <c r="D137" s="19" t="s">
        <v>114</v>
      </c>
      <c r="E137" s="19"/>
      <c r="F137" s="19"/>
    </row>
    <row r="138" spans="1:6" ht="24" customHeight="1" x14ac:dyDescent="0.25">
      <c r="D138" s="19"/>
      <c r="E138" s="19"/>
      <c r="F138" s="19"/>
    </row>
    <row r="139" spans="1:6" ht="24" customHeight="1" x14ac:dyDescent="0.25">
      <c r="A139" s="4" t="s">
        <v>96</v>
      </c>
    </row>
  </sheetData>
  <mergeCells count="44">
    <mergeCell ref="A1:F1"/>
    <mergeCell ref="A2:F3"/>
    <mergeCell ref="A6:F6"/>
    <mergeCell ref="A7:F7"/>
    <mergeCell ref="A11:C12"/>
    <mergeCell ref="D11:F12"/>
    <mergeCell ref="A16:F16"/>
    <mergeCell ref="A17:F17"/>
    <mergeCell ref="A21:C22"/>
    <mergeCell ref="D21:F22"/>
    <mergeCell ref="A26:F26"/>
    <mergeCell ref="A27:F27"/>
    <mergeCell ref="D31:F32"/>
    <mergeCell ref="A36:F36"/>
    <mergeCell ref="A37:F37"/>
    <mergeCell ref="D41:F42"/>
    <mergeCell ref="A46:F46"/>
    <mergeCell ref="A47:F47"/>
    <mergeCell ref="A51:C52"/>
    <mergeCell ref="D56:F57"/>
    <mergeCell ref="A60:F60"/>
    <mergeCell ref="A61:F61"/>
    <mergeCell ref="D65:F66"/>
    <mergeCell ref="A72:F72"/>
    <mergeCell ref="A73:F73"/>
    <mergeCell ref="D77:F78"/>
    <mergeCell ref="A82:F82"/>
    <mergeCell ref="A83:F83"/>
    <mergeCell ref="D87:F88"/>
    <mergeCell ref="A93:F93"/>
    <mergeCell ref="A94:F94"/>
    <mergeCell ref="A98:C99"/>
    <mergeCell ref="D98:F99"/>
    <mergeCell ref="A103:F103"/>
    <mergeCell ref="A104:F104"/>
    <mergeCell ref="D108:F109"/>
    <mergeCell ref="A128:F128"/>
    <mergeCell ref="A132:C133"/>
    <mergeCell ref="D137:F138"/>
    <mergeCell ref="A113:F113"/>
    <mergeCell ref="A114:F114"/>
    <mergeCell ref="A118:C119"/>
    <mergeCell ref="D123:F124"/>
    <mergeCell ref="A127:F127"/>
  </mergeCells>
  <dataValidations count="2">
    <dataValidation type="list" allowBlank="1" showInputMessage="1" showErrorMessage="1" sqref="B9 B130 B116 B106 B96 B85 B75 B63 B49 B39 B29 B19" xr:uid="{00000000-0002-0000-0200-000000000000}">
      <formula1>"ESTR,FUNDING"</formula1>
    </dataValidation>
    <dataValidation type="list" allowBlank="1" showInputMessage="1" showErrorMessage="1" sqref="F8 F129 F115 F105 F95 F84 F74 F62 F48 F38 F28 F18" xr:uid="{00000000-0002-0000-0200-000001000000}">
      <formula1>"French,Bullet,Balloon"</formula1>
    </dataValidation>
  </dataValidations>
  <hyperlinks>
    <hyperlink ref="A4" location="'Start Here'!A1" display="← Start Here" xr:uid="{00000000-0004-0000-0200-000000000000}"/>
    <hyperlink ref="F4" location="'3 Market'!A1" display="Next → 3 Market" xr:uid="{00000000-0004-0000-0200-000001000000}"/>
    <hyperlink ref="A14" location="'5 Results'!A7" display="See this case's results →" xr:uid="{00000000-0004-0000-0200-000002000000}"/>
    <hyperlink ref="A24" location="'5 Results'!A8" display="See this case's results →" xr:uid="{00000000-0004-0000-0200-000003000000}"/>
    <hyperlink ref="A34" location="'5 Results'!A9" display="See this case's results →" xr:uid="{00000000-0004-0000-0200-000004000000}"/>
    <hyperlink ref="A44" location="'5 Results'!A10" display="See this case's results →" xr:uid="{00000000-0004-0000-0200-000005000000}"/>
    <hyperlink ref="A58" location="'5 Results'!A11" display="See this case's results →" xr:uid="{00000000-0004-0000-0200-000006000000}"/>
    <hyperlink ref="A70" location="'5 Results'!A12" display="See this case's results →" xr:uid="{00000000-0004-0000-0200-000007000000}"/>
    <hyperlink ref="A80" location="'5 Results'!A13" display="See this case's results →" xr:uid="{00000000-0004-0000-0200-000008000000}"/>
    <hyperlink ref="A91" location="'5 Results'!A14" display="See this case's results →" xr:uid="{00000000-0004-0000-0200-000009000000}"/>
    <hyperlink ref="A101" location="'5 Results'!A15" display="See this case's results →" xr:uid="{00000000-0004-0000-0200-00000A000000}"/>
    <hyperlink ref="A111" location="'5 Results'!A16" display="See this case's results →" xr:uid="{00000000-0004-0000-0200-00000B000000}"/>
    <hyperlink ref="A125" location="'5 Results'!A17" display="See this case's results →" xr:uid="{00000000-0004-0000-0200-00000C000000}"/>
    <hyperlink ref="A139" location="'5 Results'!A18" display="See this case's results →" xr:uid="{00000000-0004-0000-0200-00000D000000}"/>
  </hyperlinks>
  <pageMargins left="0.3" right="0.3" top="0.4" bottom="0.4" header="0.3" footer="0.3"/>
  <pageSetup paperSize="9" fitToHeight="0" orientation="landscape"/>
  <headerFooter>
    <oddFooter>&amp;LQuantSupport&amp;CCase inputs · one block per agreement&amp;R&amp;P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7AB7"/>
    <pageSetUpPr fitToPage="1"/>
  </sheetPr>
  <dimension ref="A1:D48"/>
  <sheetViews>
    <sheetView showGridLines="0" zoomScale="85" zoomScaleNormal="85" workbookViewId="0">
      <pane xSplit="1" ySplit="6" topLeftCell="B7" activePane="bottomRight" state="frozen"/>
      <selection pane="topRight" activeCell="B1" sqref="B1"/>
      <selection pane="bottomLeft" activeCell="A7" sqref="A7"/>
      <selection pane="bottomRight" sqref="A1:D1"/>
    </sheetView>
  </sheetViews>
  <sheetFormatPr baseColWidth="10" defaultColWidth="9.140625" defaultRowHeight="24" customHeight="1" x14ac:dyDescent="0.25"/>
  <cols>
    <col min="1" max="1" width="38.7109375" style="1" customWidth="1"/>
    <col min="2" max="2" width="42.7109375" style="1" customWidth="1"/>
    <col min="3" max="3" width="36.7109375" style="1" customWidth="1"/>
    <col min="4" max="4" width="24.7109375" style="1" customWidth="1"/>
  </cols>
  <sheetData>
    <row r="1" spans="1:4" ht="38.1" customHeight="1" x14ac:dyDescent="0.25">
      <c r="A1" s="16" t="s">
        <v>135</v>
      </c>
      <c r="B1" s="16"/>
      <c r="C1" s="16"/>
      <c r="D1" s="16"/>
    </row>
    <row r="2" spans="1:4" ht="24" customHeight="1" x14ac:dyDescent="0.25">
      <c r="A2" s="17" t="s">
        <v>136</v>
      </c>
      <c r="B2" s="17"/>
      <c r="C2" s="17"/>
      <c r="D2" s="17"/>
    </row>
    <row r="3" spans="1:4" ht="24" customHeight="1" x14ac:dyDescent="0.25">
      <c r="A3" s="17"/>
      <c r="B3" s="17"/>
      <c r="C3" s="17"/>
      <c r="D3" s="17"/>
    </row>
    <row r="4" spans="1:4" ht="36" customHeight="1" x14ac:dyDescent="0.25">
      <c r="A4" s="4" t="s">
        <v>42</v>
      </c>
      <c r="D4" s="4" t="s">
        <v>137</v>
      </c>
    </row>
    <row r="6" spans="1:4" ht="36" customHeight="1" x14ac:dyDescent="0.25">
      <c r="A6" s="3" t="s">
        <v>138</v>
      </c>
      <c r="B6" s="3" t="s">
        <v>139</v>
      </c>
      <c r="C6" s="3" t="s">
        <v>140</v>
      </c>
      <c r="D6" s="3" t="s">
        <v>141</v>
      </c>
    </row>
    <row r="7" spans="1:4" ht="24" customHeight="1" x14ac:dyDescent="0.25">
      <c r="A7" s="6" t="s">
        <v>142</v>
      </c>
      <c r="B7" s="10">
        <v>0.03</v>
      </c>
      <c r="C7" s="10">
        <v>0.04</v>
      </c>
      <c r="D7" s="10">
        <v>5.0000000000000001E-3</v>
      </c>
    </row>
    <row r="8" spans="1:4" ht="24" customHeight="1" x14ac:dyDescent="0.25">
      <c r="A8" s="6" t="s">
        <v>143</v>
      </c>
      <c r="B8" s="10">
        <v>0.03</v>
      </c>
      <c r="C8" s="10">
        <v>3.6999999999999998E-2</v>
      </c>
      <c r="D8" s="10">
        <v>0.01</v>
      </c>
    </row>
    <row r="9" spans="1:4" ht="24" customHeight="1" x14ac:dyDescent="0.25">
      <c r="A9" s="6" t="s">
        <v>144</v>
      </c>
      <c r="B9" s="10">
        <v>3.2000000000000001E-2</v>
      </c>
      <c r="C9" s="10">
        <v>0.04</v>
      </c>
      <c r="D9" s="10">
        <v>1.0999999999999999E-2</v>
      </c>
    </row>
    <row r="10" spans="1:4" ht="24" customHeight="1" x14ac:dyDescent="0.25">
      <c r="A10" s="6" t="s">
        <v>145</v>
      </c>
      <c r="B10" s="10">
        <v>3.4000000000000002E-2</v>
      </c>
      <c r="C10" s="10">
        <v>4.1500000000000002E-2</v>
      </c>
      <c r="D10" s="10">
        <v>1.4E-2</v>
      </c>
    </row>
    <row r="11" spans="1:4" ht="24" customHeight="1" x14ac:dyDescent="0.25">
      <c r="A11" s="6" t="s">
        <v>146</v>
      </c>
      <c r="B11" s="10">
        <v>3.5000000000000003E-2</v>
      </c>
      <c r="C11" s="10">
        <v>4.1500000000000002E-2</v>
      </c>
      <c r="D11" s="10">
        <v>1.4999999999999999E-2</v>
      </c>
    </row>
    <row r="13" spans="1:4" ht="24" customHeight="1" x14ac:dyDescent="0.25">
      <c r="A13" s="19" t="s">
        <v>147</v>
      </c>
      <c r="B13" s="19"/>
      <c r="C13" s="19"/>
      <c r="D13" s="19"/>
    </row>
    <row r="14" spans="1:4" ht="24" customHeight="1" x14ac:dyDescent="0.25">
      <c r="A14" s="19"/>
      <c r="B14" s="19"/>
      <c r="C14" s="19"/>
      <c r="D14" s="19"/>
    </row>
    <row r="17" spans="1:4" ht="36" customHeight="1" x14ac:dyDescent="0.25">
      <c r="A17" s="3" t="s">
        <v>148</v>
      </c>
      <c r="B17" s="3" t="s">
        <v>149</v>
      </c>
      <c r="C17" s="3"/>
      <c r="D17" s="3"/>
    </row>
    <row r="18" spans="1:4" ht="24" customHeight="1" x14ac:dyDescent="0.25">
      <c r="A18" s="1" t="s">
        <v>150</v>
      </c>
      <c r="B18" s="10">
        <v>5.0000000000000001E-3</v>
      </c>
    </row>
    <row r="19" spans="1:4" ht="24" customHeight="1" x14ac:dyDescent="0.25">
      <c r="A19" s="1" t="s">
        <v>151</v>
      </c>
      <c r="B19" s="10">
        <v>7.0000000000000001E-3</v>
      </c>
    </row>
    <row r="20" spans="1:4" ht="24" customHeight="1" x14ac:dyDescent="0.25">
      <c r="A20" s="1" t="s">
        <v>152</v>
      </c>
      <c r="B20" s="10">
        <v>8.9999999999999993E-3</v>
      </c>
    </row>
    <row r="21" spans="1:4" ht="24" customHeight="1" x14ac:dyDescent="0.25">
      <c r="A21" s="1" t="s">
        <v>153</v>
      </c>
      <c r="B21" s="10">
        <v>1.0999999999999999E-2</v>
      </c>
    </row>
    <row r="22" spans="1:4" ht="24" customHeight="1" x14ac:dyDescent="0.25">
      <c r="A22" s="1" t="s">
        <v>154</v>
      </c>
      <c r="B22" s="10">
        <v>1.4E-2</v>
      </c>
    </row>
    <row r="23" spans="1:4" ht="24" customHeight="1" x14ac:dyDescent="0.25">
      <c r="A23" s="1" t="s">
        <v>155</v>
      </c>
      <c r="B23" s="10">
        <v>1.6E-2</v>
      </c>
    </row>
    <row r="24" spans="1:4" ht="24" customHeight="1" x14ac:dyDescent="0.25">
      <c r="A24" s="1" t="s">
        <v>156</v>
      </c>
      <c r="B24" s="10">
        <v>1.7000000000000001E-2</v>
      </c>
    </row>
    <row r="27" spans="1:4" ht="32.1" customHeight="1" x14ac:dyDescent="0.25">
      <c r="A27" s="1" t="s">
        <v>157</v>
      </c>
      <c r="B27" s="10">
        <v>0.4</v>
      </c>
      <c r="C27" s="5" t="s">
        <v>158</v>
      </c>
    </row>
    <row r="31" spans="1:4" ht="36" customHeight="1" x14ac:dyDescent="0.25">
      <c r="A31" s="3" t="s">
        <v>159</v>
      </c>
      <c r="B31" s="3" t="s">
        <v>160</v>
      </c>
      <c r="C31" s="3" t="s">
        <v>161</v>
      </c>
    </row>
    <row r="32" spans="1:4" ht="38.1" customHeight="1" x14ac:dyDescent="0.25">
      <c r="A32" s="2" t="s">
        <v>162</v>
      </c>
      <c r="B32" s="8" t="str" cm="1">
        <f t="array" ref="B32">_xll.QS.CONTEXT.CREATE("Loan.Root",Loan_ValuationDate,"EUR","ESTR")</f>
        <v>QSObject:PricingContext:w1~Loan.Root:13</v>
      </c>
      <c r="C32" s="5" t="s">
        <v>163</v>
      </c>
    </row>
    <row r="33" spans="1:3" ht="33.950000000000003" customHeight="1" x14ac:dyDescent="0.25">
      <c r="A33" s="14" t="str">
        <f ca="1">SUBSTITUTE(_xlfn.FORMULATEXT(B32),",",", ")</f>
        <v>=QS.CONTEXT.CREATE("Loan.Root";Loan_ValuationDate;"EUR";"ESTR")</v>
      </c>
      <c r="B33" s="14"/>
      <c r="C33" s="14"/>
    </row>
    <row r="35" spans="1:3" ht="38.1" customHeight="1" x14ac:dyDescent="0.25">
      <c r="A35" s="2" t="s">
        <v>164</v>
      </c>
      <c r="B35" s="8" t="str" cm="1">
        <f t="array" ref="B35">_xll.QS.CONTEXT.ADD.CREDIT.CURVE(Loan_Root,"Credit:BORROWER","EUR","ESTR",Loan_Recovery,Loan_CreditQuotes,Loan_CreditMid)</f>
        <v>QSObject:ContextInput:w1~context.input.a22d5bf78e99fec3.2697135014208.34.1:39</v>
      </c>
      <c r="C35" s="5" t="s">
        <v>165</v>
      </c>
    </row>
    <row r="36" spans="1:3" ht="33.950000000000003" customHeight="1" x14ac:dyDescent="0.25">
      <c r="A36" s="14" t="str">
        <f ca="1">SUBSTITUTE(_xlfn.FORMULATEXT(B35),",",", ")</f>
        <v>=QS.CONTEXT.ADD.CREDIT.CURVE(Loan_Root;"Credit:BORROWER";"EUR";"ESTR";Loan_Recovery;Loan_CreditQuotes;Loan_CreditMid)</v>
      </c>
      <c r="B36" s="14"/>
      <c r="C36" s="14"/>
    </row>
    <row r="38" spans="1:3" ht="38.1" customHeight="1" x14ac:dyDescent="0.25">
      <c r="A38" s="2" t="s">
        <v>166</v>
      </c>
      <c r="B38" s="8" t="str" cm="1">
        <f t="array" ref="B38">_xll.QS.CONTEXT.ADD.ZERO.CURVE(Loan_Root,"ESTR",Loan_Pillars,Loan_ZeroRates,"Actual360","Continuous","Annual","Linear",TRUE)</f>
        <v>QSObject:ContextInput:w1~context.input.668f9ba2330159ae.2697135014208.37.1:37</v>
      </c>
      <c r="C38" s="5" t="s">
        <v>167</v>
      </c>
    </row>
    <row r="39" spans="1:3" ht="33.950000000000003" customHeight="1" x14ac:dyDescent="0.25">
      <c r="A39" s="14" t="str">
        <f ca="1">SUBSTITUTE(_xlfn.FORMULATEXT(B38),",",", ")</f>
        <v>=QS.CONTEXT.ADD.ZERO.CURVE(Loan_Root;"ESTR";Loan_Pillars;Loan_ZeroRates;"Actual360";"Continuous";"Annual";"Linear";VERDADERO)</v>
      </c>
      <c r="B39" s="14"/>
      <c r="C39" s="14"/>
    </row>
    <row r="41" spans="1:3" ht="38.1" customHeight="1" x14ac:dyDescent="0.25">
      <c r="A41" s="2" t="s">
        <v>168</v>
      </c>
      <c r="B41" s="8" t="str" cm="1">
        <f t="array" ref="B41">_xll.QS.CONTEXT.ADD.ZERO.CURVE(Loan_Root,"EURIBOR12m",Loan_Pillars,Loan_ForwardRates,"Actual360","Continuous","Annual","Linear",TRUE)</f>
        <v>QSObject:ContextInput:w1~context.input.9d57fbbcb8463f81.2697135014208.40.1:36</v>
      </c>
      <c r="C41" s="5" t="s">
        <v>167</v>
      </c>
    </row>
    <row r="42" spans="1:3" ht="33.950000000000003" customHeight="1" x14ac:dyDescent="0.25">
      <c r="A42" s="14" t="str">
        <f ca="1">SUBSTITUTE(_xlfn.FORMULATEXT(B41),",",", ")</f>
        <v>=QS.CONTEXT.ADD.ZERO.CURVE(Loan_Root;"EURIBOR12m";Loan_Pillars;Loan_ForwardRates;"Actual360";"Continuous";"Annual";"Linear";VERDADERO)</v>
      </c>
      <c r="B42" s="14"/>
      <c r="C42" s="14"/>
    </row>
    <row r="44" spans="1:3" ht="38.1" customHeight="1" x14ac:dyDescent="0.25">
      <c r="A44" s="2" t="s">
        <v>169</v>
      </c>
      <c r="B44" s="8" t="str" cm="1">
        <f t="array" ref="B44">_xll.QS.CONTEXT.ADD.ZERO.CURVE(Loan_Root,"FUNDINGSPREAD",Loan_Pillars,Loan_FundingSpreads,"Actual360","Continuous","Annual","Linear",TRUE)</f>
        <v>QSObject:ContextInput:w1~context.input.45ae25652d59143c.2697135014208.43.1:40</v>
      </c>
      <c r="C44" s="5" t="s">
        <v>167</v>
      </c>
    </row>
    <row r="45" spans="1:3" ht="33.950000000000003" customHeight="1" x14ac:dyDescent="0.25">
      <c r="A45" s="14" t="str">
        <f ca="1">SUBSTITUTE(_xlfn.FORMULATEXT(B44),",",", ")</f>
        <v>=QS.CONTEXT.ADD.ZERO.CURVE(Loan_Root;"FUNDINGSPREAD";Loan_Pillars;Loan_FundingSpreads;"Actual360";"Continuous";"Annual";"Linear";VERDADERO)</v>
      </c>
      <c r="B45" s="14"/>
      <c r="C45" s="14"/>
    </row>
    <row r="47" spans="1:3" ht="38.1" customHeight="1" x14ac:dyDescent="0.25">
      <c r="A47" s="2" t="s">
        <v>170</v>
      </c>
      <c r="B47" s="8" t="str" cm="1">
        <f t="array" ref="B47">_xll.QS.CONTEXT.ADD.COMPOSITE.CURVE(Loan_Root,"FUNDING","EURIBOR12m","FUNDINGSPREAD")</f>
        <v>QSObject:ContextInput:w1~context.input.2b74495d9c4fa2b0.2697135014208.46.1:38</v>
      </c>
      <c r="C47" s="5" t="s">
        <v>171</v>
      </c>
    </row>
    <row r="48" spans="1:3" ht="33.950000000000003" customHeight="1" x14ac:dyDescent="0.25">
      <c r="A48" s="14" t="str">
        <f ca="1">SUBSTITUTE(_xlfn.FORMULATEXT(B47),",",", ")</f>
        <v>=QS.CONTEXT.ADD.COMPOSITE.CURVE(Loan_Root;"FUNDING";"EURIBOR12m";"FUNDINGSPREAD")</v>
      </c>
      <c r="B48" s="14"/>
      <c r="C48" s="14"/>
    </row>
  </sheetData>
  <mergeCells count="9">
    <mergeCell ref="A39:C39"/>
    <mergeCell ref="A42:C42"/>
    <mergeCell ref="A45:C45"/>
    <mergeCell ref="A48:C48"/>
    <mergeCell ref="A1:D1"/>
    <mergeCell ref="A2:D3"/>
    <mergeCell ref="A13:D14"/>
    <mergeCell ref="A33:C33"/>
    <mergeCell ref="A36:C36"/>
  </mergeCells>
  <hyperlinks>
    <hyperlink ref="A4" location="'Start Here'!A1" display="← Start Here" xr:uid="{00000000-0004-0000-0300-000000000000}"/>
    <hyperlink ref="D4" location="'4 Build'!A1" display="Next → 4 Build" xr:uid="{00000000-0004-0000-0300-000001000000}"/>
  </hyperlinks>
  <pageMargins left="0.3" right="0.3" top="0.4" bottom="0.4" header="0.3" footer="0.3"/>
  <pageSetup paperSize="9" fitToHeight="0" orientation="landscape"/>
  <headerFooter>
    <oddFooter>&amp;LQuantSupport&amp;CMarket assumptions and curve construction&amp;R&amp;P / &amp;N</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8909C"/>
    <pageSetUpPr fitToPage="1"/>
  </sheetPr>
  <dimension ref="A1:C320"/>
  <sheetViews>
    <sheetView showGridLines="0" tabSelected="1" zoomScale="85" zoomScaleNormal="85" workbookViewId="0">
      <pane xSplit="1" ySplit="6" topLeftCell="B7" activePane="bottomRight" state="frozen"/>
      <selection pane="topRight" activeCell="B1" sqref="B1"/>
      <selection pane="bottomLeft" activeCell="A7" sqref="A7"/>
      <selection pane="bottomRight" activeCell="A8" sqref="A8:C8"/>
    </sheetView>
  </sheetViews>
  <sheetFormatPr baseColWidth="10" defaultColWidth="9.140625" defaultRowHeight="24" customHeight="1" x14ac:dyDescent="0.25"/>
  <cols>
    <col min="1" max="1" width="34.7109375" style="1" customWidth="1"/>
    <col min="2" max="3" width="48.7109375" style="1" customWidth="1"/>
  </cols>
  <sheetData>
    <row r="1" spans="1:3" ht="38.1" customHeight="1" x14ac:dyDescent="0.25">
      <c r="A1" s="16" t="s">
        <v>172</v>
      </c>
      <c r="B1" s="16"/>
      <c r="C1" s="16"/>
    </row>
    <row r="2" spans="1:3" ht="24" customHeight="1" x14ac:dyDescent="0.25">
      <c r="A2" s="17" t="s">
        <v>173</v>
      </c>
      <c r="B2" s="17"/>
      <c r="C2" s="17"/>
    </row>
    <row r="3" spans="1:3" ht="24" customHeight="1" x14ac:dyDescent="0.25">
      <c r="A3" s="17"/>
      <c r="B3" s="17"/>
      <c r="C3" s="17"/>
    </row>
    <row r="4" spans="1:3" ht="36" customHeight="1" x14ac:dyDescent="0.25">
      <c r="A4" s="4" t="s">
        <v>42</v>
      </c>
      <c r="C4" s="4" t="s">
        <v>174</v>
      </c>
    </row>
    <row r="6" spans="1:3" ht="36" customHeight="1" x14ac:dyDescent="0.25">
      <c r="A6" s="3" t="s">
        <v>175</v>
      </c>
      <c r="B6" s="3" t="s">
        <v>160</v>
      </c>
      <c r="C6" s="3" t="s">
        <v>176</v>
      </c>
    </row>
    <row r="7" spans="1:3" ht="38.1" customHeight="1" x14ac:dyDescent="0.25">
      <c r="A7" s="2" t="s">
        <v>177</v>
      </c>
      <c r="B7" s="8" t="str" cm="1">
        <f t="array" ref="B7">Loan_Root</f>
        <v>QSObject:PricingContext:w1~Loan.Context:41</v>
      </c>
      <c r="C7" s="5" t="s">
        <v>178</v>
      </c>
    </row>
    <row r="8" spans="1:3" ht="33.950000000000003" customHeight="1" x14ac:dyDescent="0.25">
      <c r="A8" s="14" t="str">
        <f ca="1">SUBSTITUTE(_xlfn.FORMULATEXT(B7),",",", ")</f>
        <v>=QS.CONTEXT.PREPARE("Loan.Context";Loan_Root;Loan_MarketInputs)</v>
      </c>
      <c r="B8" s="14"/>
      <c r="C8" s="14"/>
    </row>
    <row r="10" spans="1:3" ht="38.1" customHeight="1" x14ac:dyDescent="0.25">
      <c r="A10" s="2" t="s">
        <v>179</v>
      </c>
      <c r="B10" s="8" t="str" cm="1">
        <f t="array" ref="B10">_xll.QS.DISCOUNT.POLICY.FIXED.INCOME("Loan.RiskFreePolicy",Loan_RiskFreeCurrency,Loan_RiskFreeIndex)</f>
        <v>QSObject:FixedIncomeDiscountPolicy:w1~Loan.RiskFreePolicy:15</v>
      </c>
      <c r="C10" s="5" t="s">
        <v>180</v>
      </c>
    </row>
    <row r="11" spans="1:3" ht="33.950000000000003" customHeight="1" x14ac:dyDescent="0.25">
      <c r="A11" s="14" t="str">
        <f ca="1">SUBSTITUTE(_xlfn.FORMULATEXT(B10),",",", ")</f>
        <v>=QS.DISCOUNT.POLICY.FIXED.INCOME("Loan.RiskFreePolicy";Loan_RiskFreeCurrency;Loan_RiskFreeIndex)</v>
      </c>
      <c r="B11" s="14"/>
      <c r="C11" s="14"/>
    </row>
    <row r="13" spans="1:3" ht="38.1" customHeight="1" x14ac:dyDescent="0.25">
      <c r="A13" s="2" t="s">
        <v>181</v>
      </c>
      <c r="B13" s="8" t="str" cm="1">
        <f t="array" ref="B13">_xll.QS.PRICER.CREATE("Loan.RiskFreePricer","LoanPricer",Loan_RiskFreePolicy)</f>
        <v>QSObject:Pricer:w1~Loan.RiskFreePricer:25</v>
      </c>
      <c r="C13" s="5" t="s">
        <v>182</v>
      </c>
    </row>
    <row r="14" spans="1:3" ht="33.950000000000003" customHeight="1" x14ac:dyDescent="0.25">
      <c r="A14" s="14" t="str">
        <f ca="1">SUBSTITUTE(_xlfn.FORMULATEXT(B13),",",", ")</f>
        <v>=QS.PRICER.CREATE("Loan.RiskFreePricer";"LoanPricer";Loan_RiskFreePolicy)</v>
      </c>
      <c r="B14" s="14"/>
      <c r="C14" s="14"/>
    </row>
    <row r="16" spans="1:3" ht="38.1" customHeight="1" x14ac:dyDescent="0.25">
      <c r="A16" s="2" t="s">
        <v>183</v>
      </c>
      <c r="B16" s="8" t="str" cm="1">
        <f t="array" ref="B16">_xll.QS.DISCOUNT.POLICY.FIXED.INCOME("Loan.FundingPolicy",Loan_FundingCurrency,Loan_FundingIndex)</f>
        <v>QSObject:FixedIncomeDiscountPolicy:w1~Loan.FundingPolicy:14</v>
      </c>
      <c r="C16" s="5" t="s">
        <v>180</v>
      </c>
    </row>
    <row r="17" spans="1:3" ht="33.950000000000003" customHeight="1" x14ac:dyDescent="0.25">
      <c r="A17" s="14" t="str">
        <f ca="1">SUBSTITUTE(_xlfn.FORMULATEXT(B16),",",", ")</f>
        <v>=QS.DISCOUNT.POLICY.FIXED.INCOME("Loan.FundingPolicy";Loan_FundingCurrency;Loan_FundingIndex)</v>
      </c>
      <c r="B17" s="14"/>
      <c r="C17" s="14"/>
    </row>
    <row r="19" spans="1:3" ht="38.1" customHeight="1" x14ac:dyDescent="0.25">
      <c r="A19" s="2" t="s">
        <v>184</v>
      </c>
      <c r="B19" s="8" t="str" cm="1">
        <f t="array" ref="B19">_xll.QS.PRICER.CREATE("Loan.FundingPricer","LoanPricer",Loan_FundingPolicy)</f>
        <v>QSObject:Pricer:w1~Loan.FundingPricer:29</v>
      </c>
      <c r="C19" s="5" t="s">
        <v>182</v>
      </c>
    </row>
    <row r="20" spans="1:3" ht="33.950000000000003" customHeight="1" x14ac:dyDescent="0.25">
      <c r="A20" s="14" t="str">
        <f ca="1">SUBSTITUTE(_xlfn.FORMULATEXT(B19),",",", ")</f>
        <v>=QS.PRICER.CREATE("Loan.FundingPricer";"LoanPricer";Loan_FundingPolicy)</v>
      </c>
      <c r="B20" s="14"/>
      <c r="C20" s="14"/>
    </row>
    <row r="22" spans="1:3" ht="38.1" customHeight="1" x14ac:dyDescent="0.25">
      <c r="A22" s="2" t="s">
        <v>185</v>
      </c>
      <c r="B22" s="8" t="str" cm="1">
        <f t="array" ref="B22">_xll.QS.CURVE.GET(Loan_Context,"ESTR")</f>
        <v>QSObject:DiscountCurveElement:w1~context_curve_b9707635fbade144:55</v>
      </c>
      <c r="C22" s="5" t="s">
        <v>186</v>
      </c>
    </row>
    <row r="23" spans="1:3" ht="33.950000000000003" customHeight="1" x14ac:dyDescent="0.25">
      <c r="A23" s="14" t="str">
        <f ca="1">SUBSTITUTE(_xlfn.FORMULATEXT(B22),",",", ")</f>
        <v>=QS.CURVE.GET(Loan_Context;"ESTR")</v>
      </c>
      <c r="B23" s="14"/>
      <c r="C23" s="14"/>
    </row>
    <row r="25" spans="1:3" ht="38.1" customHeight="1" x14ac:dyDescent="0.25">
      <c r="A25" s="2" t="s">
        <v>187</v>
      </c>
      <c r="B25" s="8" t="str" cm="1">
        <f t="array" ref="B25">_xll.QS.REQUEST.FAIR.RATE(0)</f>
        <v>FairRate(0)</v>
      </c>
      <c r="C25" s="5" t="s">
        <v>188</v>
      </c>
    </row>
    <row r="26" spans="1:3" ht="33.950000000000003" customHeight="1" x14ac:dyDescent="0.25">
      <c r="A26" s="14" t="str">
        <f ca="1">SUBSTITUTE(_xlfn.FORMULATEXT(B25),",",", ")</f>
        <v>=QS.REQUEST.FAIR.RATE(0)</v>
      </c>
      <c r="B26" s="14"/>
      <c r="C26" s="14"/>
    </row>
    <row r="28" spans="1:3" ht="38.1" customHeight="1" x14ac:dyDescent="0.25">
      <c r="A28" s="2" t="s">
        <v>189</v>
      </c>
      <c r="B28" s="8" t="str" cm="1">
        <f t="array" ref="B28">_xll.QS.REQUEST.FAIR.RATE(1)</f>
        <v>FairRate(1)</v>
      </c>
      <c r="C28" s="5" t="s">
        <v>188</v>
      </c>
    </row>
    <row r="29" spans="1:3" ht="33.950000000000003" customHeight="1" x14ac:dyDescent="0.25">
      <c r="A29" s="14" t="str">
        <f ca="1">SUBSTITUTE(_xlfn.FORMULATEXT(B28),",",", ")</f>
        <v>=QS.REQUEST.FAIR.RATE(1)</v>
      </c>
      <c r="B29" s="14"/>
      <c r="C29" s="14"/>
    </row>
    <row r="31" spans="1:3" ht="38.1" customHeight="1" x14ac:dyDescent="0.25">
      <c r="A31" s="2" t="s">
        <v>190</v>
      </c>
      <c r="B31" s="8" t="str" cm="1">
        <f t="array" ref="B31">_xll.QS.REQUEST.FAIR.RATE(2)</f>
        <v>FairRate(2)</v>
      </c>
      <c r="C31" s="5" t="s">
        <v>188</v>
      </c>
    </row>
    <row r="32" spans="1:3" ht="33.950000000000003" customHeight="1" x14ac:dyDescent="0.25">
      <c r="A32" s="14" t="str">
        <f ca="1">SUBSTITUTE(_xlfn.FORMULATEXT(B31),",",", ")</f>
        <v>=QS.REQUEST.FAIR.RATE(2)</v>
      </c>
      <c r="B32" s="14"/>
      <c r="C32" s="14"/>
    </row>
    <row r="34" spans="1:3" ht="24" customHeight="1" x14ac:dyDescent="0.25">
      <c r="A34" s="15" t="s">
        <v>87</v>
      </c>
      <c r="B34" s="15"/>
      <c r="C34" s="15"/>
    </row>
    <row r="35" spans="1:3" ht="24" customHeight="1" x14ac:dyDescent="0.25">
      <c r="A35" s="4" t="s">
        <v>191</v>
      </c>
    </row>
    <row r="37" spans="1:3" ht="38.1" customHeight="1" x14ac:dyDescent="0.25">
      <c r="A37" s="2" t="s">
        <v>192</v>
      </c>
      <c r="B37" s="8" t="str" cm="1">
        <f t="array" ref="B37">_xll.QS.INSTRUMENT.LOAN("Loan.C01.Instrument",Loan_Start,Loan_Maturity,Loan_Currency,Loan_Notional,Loan_C01_Rate,Loan_C01_Index,Loan_C01_Repayment,Loan_Frequency,Loan_DayCounter,,,,)</f>
        <v>QSObject:Loan:w1~Loan.C01.Instrument:12</v>
      </c>
      <c r="C37" s="5" t="s">
        <v>88</v>
      </c>
    </row>
    <row r="38" spans="1:3" ht="48" customHeight="1" x14ac:dyDescent="0.25">
      <c r="A38" s="14" t="str">
        <f ca="1">SUBSTITUTE(_xlfn.FORMULATEXT(B37),",",", ")</f>
        <v>=QS.INSTRUMENT.LOAN("Loan.C01.Instrument";Loan_Start;Loan_Maturity;Loan_Currency;Loan_Notional;Loan_C01_Rate;Loan_C01_Index;Loan_C01_Repayment;Loan_Frequency;Loan_DayCounter;;;;)</v>
      </c>
      <c r="B38" s="14"/>
      <c r="C38" s="14"/>
    </row>
    <row r="40" spans="1:3" ht="38.1" customHeight="1" x14ac:dyDescent="0.25">
      <c r="A40" s="2" t="s">
        <v>193</v>
      </c>
      <c r="B40" s="8" t="str" cm="1">
        <f t="array" ref="B40">_xll.QS.TRADE.CREATE("Loan.C01.Trade",Loan_C01_Instrument,Loan_ValuationDate,Loan_Side)</f>
        <v>QSObject:LoanTrade:w1~Loan.C01.Trade:22</v>
      </c>
      <c r="C40" s="5" t="s">
        <v>194</v>
      </c>
    </row>
    <row r="41" spans="1:3" ht="33.950000000000003" customHeight="1" x14ac:dyDescent="0.25">
      <c r="A41" s="14" t="str">
        <f ca="1">SUBSTITUTE(_xlfn.FORMULATEXT(B40),",",", ")</f>
        <v>=QS.TRADE.CREATE("Loan.C01.Trade";Loan_C01_Instrument;Loan_ValuationDate;Loan_Side)</v>
      </c>
      <c r="B41" s="14"/>
      <c r="C41" s="14"/>
    </row>
    <row r="43" spans="1:3" ht="38.1" customHeight="1" x14ac:dyDescent="0.25">
      <c r="A43" s="2" t="s">
        <v>195</v>
      </c>
      <c r="B43" s="8" t="str">
        <f>IF(Loan_C01_Discount="FUNDING",Loan_FundingPricer,Loan_RiskFreePricer)</f>
        <v>QSObject:Pricer:w1~Loan.RiskFreePricer:25</v>
      </c>
      <c r="C43" s="5" t="s">
        <v>196</v>
      </c>
    </row>
    <row r="44" spans="1:3" ht="33.950000000000003" customHeight="1" x14ac:dyDescent="0.25">
      <c r="A44" s="14" t="str">
        <f ca="1">SUBSTITUTE(_xlfn.FORMULATEXT(B43),",",", ")</f>
        <v>=SI(Loan_C01_Discount="FUNDING";Loan_FundingPricer;Loan_RiskFreePricer)</v>
      </c>
      <c r="B44" s="14"/>
      <c r="C44" s="14"/>
    </row>
    <row r="46" spans="1:3" ht="38.1" customHeight="1" x14ac:dyDescent="0.25">
      <c r="A46" s="2" t="s">
        <v>197</v>
      </c>
      <c r="B46" s="8" t="str" cm="1">
        <f t="array" ref="B46">_xll.QS.EVALUATE.RESULTS(Loan_Context,Loan_C01_Trade,Loan_Requests,Loan_C01_Pricer)</f>
        <v>QSObject:EvaluationResults:w1~evaluation.2696406873024.45.1:60</v>
      </c>
      <c r="C46" s="5" t="s">
        <v>198</v>
      </c>
    </row>
    <row r="47" spans="1:3" ht="33.950000000000003" customHeight="1" x14ac:dyDescent="0.25">
      <c r="A47" s="14" t="str">
        <f ca="1">SUBSTITUTE(_xlfn.FORMULATEXT(B46),",",", ")</f>
        <v>=QS.EVALUATE.RESULTS(Loan_Context;Loan_C01_Trade;Loan_Requests;;Loan_C01_Pricer)</v>
      </c>
      <c r="B47" s="14"/>
      <c r="C47" s="14"/>
    </row>
    <row r="49" spans="1:3" ht="38.1" customHeight="1" x14ac:dyDescent="0.25">
      <c r="A49" s="2" t="s">
        <v>199</v>
      </c>
      <c r="B49" s="8" t="str" cm="1">
        <f t="array" ref="B49">_xll.QS.EVALUATE.RESULTS(Loan_Context,Loan_C01_Trade,Loan_Request0,Loan_C01_Pricer)</f>
        <v>QSObject:EvaluationResults:w1~evaluation.2696406873024.48.1:47</v>
      </c>
      <c r="C49" s="5" t="s">
        <v>200</v>
      </c>
    </row>
    <row r="50" spans="1:3" ht="33.950000000000003" customHeight="1" x14ac:dyDescent="0.25">
      <c r="A50" s="14" t="str">
        <f ca="1">SUBSTITUTE(_xlfn.FORMULATEXT(B49),",",", ")</f>
        <v>=QS.EVALUATE.RESULTS(Loan_Context;Loan_C01_Trade;Loan_Request0;;Loan_C01_Pricer)</v>
      </c>
      <c r="B50" s="14"/>
      <c r="C50" s="14"/>
    </row>
    <row r="54" spans="1:3" ht="24" customHeight="1" x14ac:dyDescent="0.25">
      <c r="A54" s="15" t="s">
        <v>97</v>
      </c>
      <c r="B54" s="15"/>
      <c r="C54" s="15"/>
    </row>
    <row r="55" spans="1:3" ht="24" customHeight="1" x14ac:dyDescent="0.25">
      <c r="A55" s="4" t="s">
        <v>191</v>
      </c>
    </row>
    <row r="57" spans="1:3" ht="38.1" customHeight="1" x14ac:dyDescent="0.25">
      <c r="A57" s="2" t="s">
        <v>192</v>
      </c>
      <c r="B57" s="8" t="str" cm="1">
        <f t="array" ref="B57">_xll.QS.INSTRUMENT.LOAN("Loan.C02.Instrument",Loan_Start,Loan_Maturity,Loan_Currency,Loan_Notional,Loan_C02_Rate,Loan_C02_Index,Loan_C02_Repayment,Loan_Frequency,Loan_DayCounter,,,,)</f>
        <v>QSObject:Loan:w1~Loan.C02.Instrument:11</v>
      </c>
      <c r="C57" s="5" t="s">
        <v>98</v>
      </c>
    </row>
    <row r="58" spans="1:3" ht="48" customHeight="1" x14ac:dyDescent="0.25">
      <c r="A58" s="14" t="str">
        <f ca="1">SUBSTITUTE(_xlfn.FORMULATEXT(B57),",",", ")</f>
        <v>=QS.INSTRUMENT.LOAN("Loan.C02.Instrument";Loan_Start;Loan_Maturity;Loan_Currency;Loan_Notional;Loan_C02_Rate;Loan_C02_Index;Loan_C02_Repayment;Loan_Frequency;Loan_DayCounter;;;;)</v>
      </c>
      <c r="B58" s="14"/>
      <c r="C58" s="14"/>
    </row>
    <row r="60" spans="1:3" ht="38.1" customHeight="1" x14ac:dyDescent="0.25">
      <c r="A60" s="2" t="s">
        <v>193</v>
      </c>
      <c r="B60" s="8" t="str" cm="1">
        <f t="array" ref="B60">_xll.QS.TRADE.CREATE("Loan.C02.Trade",Loan_C02_Instrument,Loan_ValuationDate,Loan_Side)</f>
        <v>QSObject:LoanTrade:w1~Loan.C02.Trade:21</v>
      </c>
      <c r="C60" s="5" t="s">
        <v>194</v>
      </c>
    </row>
    <row r="61" spans="1:3" ht="33.950000000000003" customHeight="1" x14ac:dyDescent="0.25">
      <c r="A61" s="14" t="str">
        <f ca="1">SUBSTITUTE(_xlfn.FORMULATEXT(B60),",",", ")</f>
        <v>=QS.TRADE.CREATE("Loan.C02.Trade";Loan_C02_Instrument;Loan_ValuationDate;Loan_Side)</v>
      </c>
      <c r="B61" s="14"/>
      <c r="C61" s="14"/>
    </row>
    <row r="63" spans="1:3" ht="38.1" customHeight="1" x14ac:dyDescent="0.25">
      <c r="A63" s="2" t="s">
        <v>195</v>
      </c>
      <c r="B63" s="8" t="str">
        <f>IF(Loan_C02_Discount="FUNDING",Loan_FundingPricer,Loan_RiskFreePricer)</f>
        <v>QSObject:Pricer:w1~Loan.RiskFreePricer:25</v>
      </c>
      <c r="C63" s="5" t="s">
        <v>196</v>
      </c>
    </row>
    <row r="64" spans="1:3" ht="33.950000000000003" customHeight="1" x14ac:dyDescent="0.25">
      <c r="A64" s="14" t="str">
        <f ca="1">SUBSTITUTE(_xlfn.FORMULATEXT(B63),",",", ")</f>
        <v>=SI(Loan_C02_Discount="FUNDING";Loan_FundingPricer;Loan_RiskFreePricer)</v>
      </c>
      <c r="B64" s="14"/>
      <c r="C64" s="14"/>
    </row>
    <row r="66" spans="1:3" ht="38.1" customHeight="1" x14ac:dyDescent="0.25">
      <c r="A66" s="2" t="s">
        <v>197</v>
      </c>
      <c r="B66" s="8" t="str" cm="1">
        <f t="array" ref="B66">_xll.QS.EVALUATE.RESULTS(Loan_Context,Loan_C02_Trade,Loan_Requests,Loan_C02_Pricer)</f>
        <v>QSObject:EvaluationResults:w1~evaluation.2696406873024.65.1:66</v>
      </c>
      <c r="C66" s="5" t="s">
        <v>198</v>
      </c>
    </row>
    <row r="67" spans="1:3" ht="33.950000000000003" customHeight="1" x14ac:dyDescent="0.25">
      <c r="A67" s="14" t="str">
        <f ca="1">SUBSTITUTE(_xlfn.FORMULATEXT(B66),",",", ")</f>
        <v>=QS.EVALUATE.RESULTS(Loan_Context;Loan_C02_Trade;Loan_Requests;;Loan_C02_Pricer)</v>
      </c>
      <c r="B67" s="14"/>
      <c r="C67" s="14"/>
    </row>
    <row r="69" spans="1:3" ht="38.1" customHeight="1" x14ac:dyDescent="0.25">
      <c r="A69" s="2" t="s">
        <v>199</v>
      </c>
      <c r="B69" s="8" t="str" cm="1">
        <f t="array" ref="B69">_xll.QS.EVALUATE.RESULTS(Loan_Context,Loan_C02_Trade,Loan_Request0,Loan_C02_Pricer)</f>
        <v>QSObject:EvaluationResults:w1~evaluation.2696406873024.68.1:56</v>
      </c>
      <c r="C69" s="5" t="s">
        <v>200</v>
      </c>
    </row>
    <row r="70" spans="1:3" ht="33.950000000000003" customHeight="1" x14ac:dyDescent="0.25">
      <c r="A70" s="14" t="str">
        <f ca="1">SUBSTITUTE(_xlfn.FORMULATEXT(B69),",",", ")</f>
        <v>=QS.EVALUATE.RESULTS(Loan_Context;Loan_C02_Trade;Loan_Request0;;Loan_C02_Pricer)</v>
      </c>
      <c r="B70" s="14"/>
      <c r="C70" s="14"/>
    </row>
    <row r="74" spans="1:3" ht="24" customHeight="1" x14ac:dyDescent="0.25">
      <c r="A74" s="15" t="s">
        <v>100</v>
      </c>
      <c r="B74" s="15"/>
      <c r="C74" s="15"/>
    </row>
    <row r="75" spans="1:3" ht="24" customHeight="1" x14ac:dyDescent="0.25">
      <c r="A75" s="4" t="s">
        <v>191</v>
      </c>
    </row>
    <row r="77" spans="1:3" ht="38.1" customHeight="1" x14ac:dyDescent="0.25">
      <c r="A77" s="2" t="s">
        <v>201</v>
      </c>
      <c r="B77" s="8" t="str" cm="1">
        <f t="array" ref="B77">_xll.QS.LOAN.SETTINGS("Loan.C03.Options",Loan_C03_Setting_balloonfraction)</f>
        <v>QSObject:LoanSettings:w1~Loan.C03.Options:10</v>
      </c>
      <c r="C77" s="5" t="s">
        <v>202</v>
      </c>
    </row>
    <row r="78" spans="1:3" ht="33.950000000000003" customHeight="1" x14ac:dyDescent="0.25">
      <c r="A78" s="14" t="str">
        <f ca="1">SUBSTITUTE(_xlfn.FORMULATEXT(B77),",",", ")</f>
        <v>=QS.LOAN.SETTINGS("Loan.C03.Options";Loan_C03_Setting_balloonfraction)</v>
      </c>
      <c r="B78" s="14"/>
      <c r="C78" s="14"/>
    </row>
    <row r="80" spans="1:3" ht="38.1" customHeight="1" x14ac:dyDescent="0.25">
      <c r="A80" s="2" t="s">
        <v>192</v>
      </c>
      <c r="B80" s="8" t="str" cm="1">
        <f t="array" ref="B80">_xll.QS.INSTRUMENT.LOAN("Loan.C03.Instrument",Loan_Start,Loan_Maturity,Loan_Currency,Loan_Notional,Loan_C03_Rate,Loan_C03_Index,Loan_C03_Repayment,Loan_Frequency,Loan_DayCounter,Loan_C03_Options,,,)</f>
        <v>QSObject:Loan:w1~Loan.C03.Instrument:20</v>
      </c>
      <c r="C80" s="5" t="s">
        <v>101</v>
      </c>
    </row>
    <row r="81" spans="1:3" ht="48" customHeight="1" x14ac:dyDescent="0.25">
      <c r="A81" s="14" t="str">
        <f ca="1">SUBSTITUTE(_xlfn.FORMULATEXT(B80),",",", ")</f>
        <v>=QS.INSTRUMENT.LOAN("Loan.C03.Instrument";Loan_Start;Loan_Maturity;Loan_Currency;Loan_Notional;Loan_C03_Rate;Loan_C03_Index;Loan_C03_Repayment;Loan_Frequency;Loan_DayCounter;Loan_C03_Options;;;)</v>
      </c>
      <c r="B81" s="14"/>
      <c r="C81" s="14"/>
    </row>
    <row r="83" spans="1:3" ht="38.1" customHeight="1" x14ac:dyDescent="0.25">
      <c r="A83" s="2" t="s">
        <v>193</v>
      </c>
      <c r="B83" s="8" t="str" cm="1">
        <f t="array" ref="B83">_xll.QS.TRADE.CREATE("Loan.C03.Trade",Loan_C03_Instrument,Loan_ValuationDate,Loan_Side)</f>
        <v>QSObject:LoanTrade:w1~Loan.C03.Trade:35</v>
      </c>
      <c r="C83" s="5" t="s">
        <v>194</v>
      </c>
    </row>
    <row r="84" spans="1:3" ht="33.950000000000003" customHeight="1" x14ac:dyDescent="0.25">
      <c r="A84" s="14" t="str">
        <f ca="1">SUBSTITUTE(_xlfn.FORMULATEXT(B83),",",", ")</f>
        <v>=QS.TRADE.CREATE("Loan.C03.Trade";Loan_C03_Instrument;Loan_ValuationDate;Loan_Side)</v>
      </c>
      <c r="B84" s="14"/>
      <c r="C84" s="14"/>
    </row>
    <row r="86" spans="1:3" ht="38.1" customHeight="1" x14ac:dyDescent="0.25">
      <c r="A86" s="2" t="s">
        <v>195</v>
      </c>
      <c r="B86" s="8" t="str">
        <f>IF(Loan_C03_Discount="FUNDING",Loan_FundingPricer,Loan_RiskFreePricer)</f>
        <v>QSObject:Pricer:w1~Loan.RiskFreePricer:25</v>
      </c>
      <c r="C86" s="5" t="s">
        <v>196</v>
      </c>
    </row>
    <row r="87" spans="1:3" ht="33.950000000000003" customHeight="1" x14ac:dyDescent="0.25">
      <c r="A87" s="14" t="str">
        <f ca="1">SUBSTITUTE(_xlfn.FORMULATEXT(B86),",",", ")</f>
        <v>=SI(Loan_C03_Discount="FUNDING";Loan_FundingPricer;Loan_RiskFreePricer)</v>
      </c>
      <c r="B87" s="14"/>
      <c r="C87" s="14"/>
    </row>
    <row r="89" spans="1:3" ht="38.1" customHeight="1" x14ac:dyDescent="0.25">
      <c r="A89" s="2" t="s">
        <v>197</v>
      </c>
      <c r="B89" s="8" t="str" cm="1">
        <f t="array" ref="B89">_xll.QS.EVALUATE.RESULTS(Loan_Context,Loan_C03_Trade,Loan_Requests,Loan_C03_Pricer)</f>
        <v>QSObject:EvaluationResults:w1~evaluation.2696406873024.88.1:65</v>
      </c>
      <c r="C89" s="5" t="s">
        <v>198</v>
      </c>
    </row>
    <row r="90" spans="1:3" ht="33.950000000000003" customHeight="1" x14ac:dyDescent="0.25">
      <c r="A90" s="14" t="str">
        <f ca="1">SUBSTITUTE(_xlfn.FORMULATEXT(B89),",",", ")</f>
        <v>=QS.EVALUATE.RESULTS(Loan_Context;Loan_C03_Trade;Loan_Requests;;Loan_C03_Pricer)</v>
      </c>
      <c r="B90" s="14"/>
      <c r="C90" s="14"/>
    </row>
    <row r="92" spans="1:3" ht="38.1" customHeight="1" x14ac:dyDescent="0.25">
      <c r="A92" s="2" t="s">
        <v>199</v>
      </c>
      <c r="B92" s="8" t="str" cm="1">
        <f t="array" ref="B92">_xll.QS.EVALUATE.RESULTS(Loan_Context,Loan_C03_Trade,Loan_Request0,Loan_C03_Pricer)</f>
        <v>QSObject:EvaluationResults:w1~evaluation.2696406873024.91.1:58</v>
      </c>
      <c r="C92" s="5" t="s">
        <v>200</v>
      </c>
    </row>
    <row r="93" spans="1:3" ht="33.950000000000003" customHeight="1" x14ac:dyDescent="0.25">
      <c r="A93" s="14" t="str">
        <f ca="1">SUBSTITUTE(_xlfn.FORMULATEXT(B92),",",", ")</f>
        <v>=QS.EVALUATE.RESULTS(Loan_Context;Loan_C03_Trade;Loan_Request0;;Loan_C03_Pricer)</v>
      </c>
      <c r="B93" s="14"/>
      <c r="C93" s="14"/>
    </row>
    <row r="97" spans="1:3" ht="24" customHeight="1" x14ac:dyDescent="0.25">
      <c r="A97" s="15" t="s">
        <v>105</v>
      </c>
      <c r="B97" s="15"/>
      <c r="C97" s="15"/>
    </row>
    <row r="98" spans="1:3" ht="24" customHeight="1" x14ac:dyDescent="0.25">
      <c r="A98" s="4" t="s">
        <v>191</v>
      </c>
    </row>
    <row r="100" spans="1:3" ht="38.1" customHeight="1" x14ac:dyDescent="0.25">
      <c r="A100" s="2" t="s">
        <v>201</v>
      </c>
      <c r="B100" s="8" t="str" cm="1">
        <f t="array" ref="B100">_xll.QS.LOAN.SETTINGS("Loan.C04.Options",,Loan_C04_Setting_amortizationrate)</f>
        <v>QSObject:LoanSettings:w1~Loan.C04.Options:5</v>
      </c>
      <c r="C100" s="5" t="s">
        <v>202</v>
      </c>
    </row>
    <row r="101" spans="1:3" ht="33.950000000000003" customHeight="1" x14ac:dyDescent="0.25">
      <c r="A101" s="14" t="str">
        <f ca="1">SUBSTITUTE(_xlfn.FORMULATEXT(B100),",",", ")</f>
        <v>=QS.LOAN.SETTINGS("Loan.C04.Options";;Loan_C04_Setting_amortizationrate)</v>
      </c>
      <c r="B101" s="14"/>
      <c r="C101" s="14"/>
    </row>
    <row r="103" spans="1:3" ht="38.1" customHeight="1" x14ac:dyDescent="0.25">
      <c r="A103" s="2" t="s">
        <v>192</v>
      </c>
      <c r="B103" s="8" t="str" cm="1">
        <f t="array" ref="B103">_xll.QS.INSTRUMENT.LOAN("Loan.C04.Instrument",Loan_Start,Loan_Maturity,Loan_Currency,Loan_Notional,Loan_C04_Rate,Loan_C04_Index,Loan_C04_Repayment,Loan_Frequency,Loan_DayCounter,Loan_C04_Options,,,)</f>
        <v>QSObject:Loan:w1~Loan.C04.Instrument:28</v>
      </c>
      <c r="C103" s="5" t="s">
        <v>106</v>
      </c>
    </row>
    <row r="104" spans="1:3" ht="48" customHeight="1" x14ac:dyDescent="0.25">
      <c r="A104" s="14" t="str">
        <f ca="1">SUBSTITUTE(_xlfn.FORMULATEXT(B103),",",", ")</f>
        <v>=QS.INSTRUMENT.LOAN("Loan.C04.Instrument";Loan_Start;Loan_Maturity;Loan_Currency;Loan_Notional;Loan_C04_Rate;Loan_C04_Index;Loan_C04_Repayment;Loan_Frequency;Loan_DayCounter;Loan_C04_Options;;;)</v>
      </c>
      <c r="B104" s="14"/>
      <c r="C104" s="14"/>
    </row>
    <row r="106" spans="1:3" ht="38.1" customHeight="1" x14ac:dyDescent="0.25">
      <c r="A106" s="2" t="s">
        <v>193</v>
      </c>
      <c r="B106" s="8" t="str" cm="1">
        <f t="array" ref="B106">_xll.QS.TRADE.CREATE("Loan.C04.Trade",Loan_C04_Instrument,Loan_ValuationDate,Loan_Side)</f>
        <v>QSObject:LoanTrade:w1~Loan.C04.Trade:31</v>
      </c>
      <c r="C106" s="5" t="s">
        <v>194</v>
      </c>
    </row>
    <row r="107" spans="1:3" ht="33.950000000000003" customHeight="1" x14ac:dyDescent="0.25">
      <c r="A107" s="14" t="str">
        <f ca="1">SUBSTITUTE(_xlfn.FORMULATEXT(B106),",",", ")</f>
        <v>=QS.TRADE.CREATE("Loan.C04.Trade";Loan_C04_Instrument;Loan_ValuationDate;Loan_Side)</v>
      </c>
      <c r="B107" s="14"/>
      <c r="C107" s="14"/>
    </row>
    <row r="109" spans="1:3" ht="38.1" customHeight="1" x14ac:dyDescent="0.25">
      <c r="A109" s="2" t="s">
        <v>195</v>
      </c>
      <c r="B109" s="8" t="str">
        <f>IF(Loan_C04_Discount="FUNDING",Loan_FundingPricer,Loan_RiskFreePricer)</f>
        <v>QSObject:Pricer:w1~Loan.RiskFreePricer:25</v>
      </c>
      <c r="C109" s="5" t="s">
        <v>196</v>
      </c>
    </row>
    <row r="110" spans="1:3" ht="33.950000000000003" customHeight="1" x14ac:dyDescent="0.25">
      <c r="A110" s="14" t="str">
        <f ca="1">SUBSTITUTE(_xlfn.FORMULATEXT(B109),",",", ")</f>
        <v>=SI(Loan_C04_Discount="FUNDING";Loan_FundingPricer;Loan_RiskFreePricer)</v>
      </c>
      <c r="B110" s="14"/>
      <c r="C110" s="14"/>
    </row>
    <row r="112" spans="1:3" ht="38.1" customHeight="1" x14ac:dyDescent="0.25">
      <c r="A112" s="2" t="s">
        <v>197</v>
      </c>
      <c r="B112" s="8" t="str" cm="1">
        <f t="array" ref="B112">_xll.QS.EVALUATE.RESULTS(Loan_Context,Loan_C04_Trade,Loan_Requests,Loan_C04_Pricer)</f>
        <v>QSObject:EvaluationResults:w1~evaluation.2696406873024.111.1:48</v>
      </c>
      <c r="C112" s="5" t="s">
        <v>198</v>
      </c>
    </row>
    <row r="113" spans="1:3" ht="33.950000000000003" customHeight="1" x14ac:dyDescent="0.25">
      <c r="A113" s="14" t="str">
        <f ca="1">SUBSTITUTE(_xlfn.FORMULATEXT(B112),",",", ")</f>
        <v>=QS.EVALUATE.RESULTS(Loan_Context;Loan_C04_Trade;Loan_Requests;;Loan_C04_Pricer)</v>
      </c>
      <c r="B113" s="14"/>
      <c r="C113" s="14"/>
    </row>
    <row r="115" spans="1:3" ht="38.1" customHeight="1" x14ac:dyDescent="0.25">
      <c r="A115" s="2" t="s">
        <v>199</v>
      </c>
      <c r="B115" s="8" t="str" cm="1">
        <f t="array" ref="B115">_xll.QS.EVALUATE.RESULTS(Loan_Context,Loan_C04_Trade,Loan_Request0,Loan_C04_Pricer)</f>
        <v>QSObject:EvaluationResults:w1~evaluation.2696406873024.114.1:44</v>
      </c>
      <c r="C115" s="5" t="s">
        <v>200</v>
      </c>
    </row>
    <row r="116" spans="1:3" ht="33.950000000000003" customHeight="1" x14ac:dyDescent="0.25">
      <c r="A116" s="14" t="str">
        <f ca="1">SUBSTITUTE(_xlfn.FORMULATEXT(B115),",",", ")</f>
        <v>=QS.EVALUATE.RESULTS(Loan_Context;Loan_C04_Trade;Loan_Request0;;Loan_C04_Pricer)</v>
      </c>
      <c r="B116" s="14"/>
      <c r="C116" s="14"/>
    </row>
    <row r="120" spans="1:3" ht="24" customHeight="1" x14ac:dyDescent="0.25">
      <c r="A120" s="15" t="s">
        <v>109</v>
      </c>
      <c r="B120" s="15"/>
      <c r="C120" s="15"/>
    </row>
    <row r="121" spans="1:3" ht="24" customHeight="1" x14ac:dyDescent="0.25">
      <c r="A121" s="4" t="s">
        <v>191</v>
      </c>
    </row>
    <row r="123" spans="1:3" ht="38.1" customHeight="1" x14ac:dyDescent="0.25">
      <c r="A123" s="2" t="s">
        <v>192</v>
      </c>
      <c r="B123" s="8" t="str" cm="1">
        <f t="array" ref="B123">_xll.QS.INSTRUMENT.LOAN("Loan.C05.Instrument",Loan_Start,Loan_Maturity,Loan_Currency,Loan_Notional,Loan_C05_Rate,Loan_C05_Index,Loan_C05_Repayment,Loan_Frequency,Loan_DayCounter,,Loan_C05_CouponPeriods,Loan_C05_CouponRates,Loan_C05_CouponIndices)</f>
        <v>QSObject:Loan:w1~Loan.C05.Instrument:8</v>
      </c>
      <c r="C123" s="5" t="s">
        <v>110</v>
      </c>
    </row>
    <row r="124" spans="1:3" ht="48" customHeight="1" x14ac:dyDescent="0.25">
      <c r="A124" s="14" t="str">
        <f ca="1">SUBSTITUTE(_xlfn.FORMULATEXT(B123),",",", ")</f>
        <v>=QS.INSTRUMENT.LOAN("Loan.C05.Instrument";Loan_Start;Loan_Maturity;Loan_Currency;Loan_Notional;Loan_C05_Rate;Loan_C05_Index;Loan_C05_Repayment;Loan_Frequency;Loan_DayCounter;;Loan_C05_CouponPeriods;Loan_C05_CouponRates;Loan_C05_CouponIndices)</v>
      </c>
      <c r="B124" s="14"/>
      <c r="C124" s="14"/>
    </row>
    <row r="126" spans="1:3" ht="38.1" customHeight="1" x14ac:dyDescent="0.25">
      <c r="A126" s="2" t="s">
        <v>193</v>
      </c>
      <c r="B126" s="8" t="str" cm="1">
        <f t="array" ref="B126">_xll.QS.TRADE.CREATE("Loan.C05.Trade",Loan_C05_Instrument,Loan_ValuationDate,Loan_Side)</f>
        <v>QSObject:LoanTrade:w1~Loan.C05.Trade:24</v>
      </c>
      <c r="C126" s="5" t="s">
        <v>194</v>
      </c>
    </row>
    <row r="127" spans="1:3" ht="33.950000000000003" customHeight="1" x14ac:dyDescent="0.25">
      <c r="A127" s="14" t="str">
        <f ca="1">SUBSTITUTE(_xlfn.FORMULATEXT(B126),",",", ")</f>
        <v>=QS.TRADE.CREATE("Loan.C05.Trade";Loan_C05_Instrument;Loan_ValuationDate;Loan_Side)</v>
      </c>
      <c r="B127" s="14"/>
      <c r="C127" s="14"/>
    </row>
    <row r="129" spans="1:3" ht="38.1" customHeight="1" x14ac:dyDescent="0.25">
      <c r="A129" s="2" t="s">
        <v>195</v>
      </c>
      <c r="B129" s="8" t="str">
        <f>IF(Loan_C05_Discount="FUNDING",Loan_FundingPricer,Loan_RiskFreePricer)</f>
        <v>QSObject:Pricer:w1~Loan.RiskFreePricer:25</v>
      </c>
      <c r="C129" s="5" t="s">
        <v>196</v>
      </c>
    </row>
    <row r="130" spans="1:3" ht="33.950000000000003" customHeight="1" x14ac:dyDescent="0.25">
      <c r="A130" s="14" t="str">
        <f ca="1">SUBSTITUTE(_xlfn.FORMULATEXT(B129),",",", ")</f>
        <v>=SI(Loan_C05_Discount="FUNDING";Loan_FundingPricer;Loan_RiskFreePricer)</v>
      </c>
      <c r="B130" s="14"/>
      <c r="C130" s="14"/>
    </row>
    <row r="132" spans="1:3" ht="38.1" customHeight="1" x14ac:dyDescent="0.25">
      <c r="A132" s="2" t="s">
        <v>197</v>
      </c>
      <c r="B132" s="8" t="str" cm="1">
        <f t="array" ref="B132">_xll.QS.EVALUATE.RESULTS(Loan_Context,Loan_C05_Trade,Loan_Requests,Loan_C05_Pricer)</f>
        <v>QSObject:EvaluationResults:w1~evaluation.2696406873024.131.1:51</v>
      </c>
      <c r="C132" s="5" t="s">
        <v>198</v>
      </c>
    </row>
    <row r="133" spans="1:3" ht="33.950000000000003" customHeight="1" x14ac:dyDescent="0.25">
      <c r="A133" s="14" t="str">
        <f ca="1">SUBSTITUTE(_xlfn.FORMULATEXT(B132),",",", ")</f>
        <v>=QS.EVALUATE.RESULTS(Loan_Context;Loan_C05_Trade;Loan_Requests;;Loan_C05_Pricer)</v>
      </c>
      <c r="B133" s="14"/>
      <c r="C133" s="14"/>
    </row>
    <row r="135" spans="1:3" ht="38.1" customHeight="1" x14ac:dyDescent="0.25">
      <c r="A135" s="2" t="s">
        <v>199</v>
      </c>
      <c r="B135" s="8" t="str" cm="1">
        <f t="array" ref="B135">_xll.QS.EVALUATE.RESULTS(Loan_Context,Loan_C05_Trade,Loan_Request0,Loan_C05_Pricer)</f>
        <v>QSObject:EvaluationResults:w1~evaluation.2696406873024.134.1:57</v>
      </c>
      <c r="C135" s="5" t="s">
        <v>200</v>
      </c>
    </row>
    <row r="136" spans="1:3" ht="33.950000000000003" customHeight="1" x14ac:dyDescent="0.25">
      <c r="A136" s="14" t="str">
        <f ca="1">SUBSTITUTE(_xlfn.FORMULATEXT(B135),",",", ")</f>
        <v>=QS.EVALUATE.RESULTS(Loan_Context;Loan_C05_Trade;Loan_Request0;;Loan_C05_Pricer)</v>
      </c>
      <c r="B136" s="14"/>
      <c r="C136" s="14"/>
    </row>
    <row r="138" spans="1:3" ht="38.1" customHeight="1" x14ac:dyDescent="0.25">
      <c r="A138" s="2" t="s">
        <v>203</v>
      </c>
      <c r="B138" s="8" t="str" cm="1">
        <f t="array" ref="B138">_xll.QS.EVALUATE.RESULTS(Loan_Context,Loan_C05_Trade,Loan_Request1,Loan_C05_Pricer)</f>
        <v>QSObject:EvaluationResults:w1~evaluation.2696406873024.137.1:62</v>
      </c>
      <c r="C138" s="5" t="s">
        <v>200</v>
      </c>
    </row>
    <row r="139" spans="1:3" ht="33.950000000000003" customHeight="1" x14ac:dyDescent="0.25">
      <c r="A139" s="14" t="str">
        <f ca="1">SUBSTITUTE(_xlfn.FORMULATEXT(B138),",",", ")</f>
        <v>=QS.EVALUATE.RESULTS(Loan_Context;Loan_C05_Trade;Loan_Request1;;Loan_C05_Pricer)</v>
      </c>
      <c r="B139" s="14"/>
      <c r="C139" s="14"/>
    </row>
    <row r="143" spans="1:3" ht="24" customHeight="1" x14ac:dyDescent="0.25">
      <c r="A143" s="15" t="s">
        <v>115</v>
      </c>
      <c r="B143" s="15"/>
      <c r="C143" s="15"/>
    </row>
    <row r="144" spans="1:3" ht="24" customHeight="1" x14ac:dyDescent="0.25">
      <c r="A144" s="4" t="s">
        <v>191</v>
      </c>
    </row>
    <row r="146" spans="1:3" ht="38.1" customHeight="1" x14ac:dyDescent="0.25">
      <c r="A146" s="2" t="s">
        <v>201</v>
      </c>
      <c r="B146" s="8" t="str" cm="1">
        <f t="array" ref="B146">_xll.QS.LOAN.SETTINGS("Loan.C06.Options",,Loan_C06_Setting_amortizationrate,,,,,,,,Loan_C06_Setting_floor,Loan_C06_Setting_cap)</f>
        <v>QSObject:LoanSettings:w1~Loan.C06.Options:9</v>
      </c>
      <c r="C146" s="5" t="s">
        <v>202</v>
      </c>
    </row>
    <row r="147" spans="1:3" ht="33.950000000000003" customHeight="1" x14ac:dyDescent="0.25">
      <c r="A147" s="14" t="str">
        <f ca="1">SUBSTITUTE(_xlfn.FORMULATEXT(B146),",",", ")</f>
        <v>=QS.LOAN.SETTINGS("Loan.C06.Options";;Loan_C06_Setting_amortizationrate;;;;;;;;Loan_C06_Setting_floor;Loan_C06_Setting_cap)</v>
      </c>
      <c r="B147" s="14"/>
      <c r="C147" s="14"/>
    </row>
    <row r="149" spans="1:3" ht="38.1" customHeight="1" x14ac:dyDescent="0.25">
      <c r="A149" s="2" t="s">
        <v>192</v>
      </c>
      <c r="B149" s="8" t="str" cm="1">
        <f t="array" ref="B149">_xll.QS.INSTRUMENT.LOAN("Loan.C06.Instrument",Loan_Start,Loan_Maturity,Loan_Currency,Loan_Notional,Loan_C06_Rate,Loan_C06_Index,Loan_C06_Repayment,Loan_Frequency,Loan_DayCounter,Loan_C06_Options,,,)</f>
        <v>QSObject:Loan:w1~Loan.C06.Instrument:18</v>
      </c>
      <c r="C149" s="5" t="s">
        <v>116</v>
      </c>
    </row>
    <row r="150" spans="1:3" ht="48" customHeight="1" x14ac:dyDescent="0.25">
      <c r="A150" s="14" t="str">
        <f ca="1">SUBSTITUTE(_xlfn.FORMULATEXT(B149),",",", ")</f>
        <v>=QS.INSTRUMENT.LOAN("Loan.C06.Instrument";Loan_Start;Loan_Maturity;Loan_Currency;Loan_Notional;Loan_C06_Rate;Loan_C06_Index;Loan_C06_Repayment;Loan_Frequency;Loan_DayCounter;Loan_C06_Options;;;)</v>
      </c>
      <c r="B150" s="14"/>
      <c r="C150" s="14"/>
    </row>
    <row r="152" spans="1:3" ht="38.1" customHeight="1" x14ac:dyDescent="0.25">
      <c r="A152" s="2" t="s">
        <v>193</v>
      </c>
      <c r="B152" s="8" t="str" cm="1">
        <f t="array" ref="B152">_xll.QS.TRADE.CREATE("Loan.C06.Trade",Loan_C06_Instrument,Loan_ValuationDate,Loan_Side)</f>
        <v>QSObject:LoanTrade:w1~Loan.C06.Trade:33</v>
      </c>
      <c r="C152" s="5" t="s">
        <v>194</v>
      </c>
    </row>
    <row r="153" spans="1:3" ht="33.950000000000003" customHeight="1" x14ac:dyDescent="0.25">
      <c r="A153" s="14" t="str">
        <f ca="1">SUBSTITUTE(_xlfn.FORMULATEXT(B152),",",", ")</f>
        <v>=QS.TRADE.CREATE("Loan.C06.Trade";Loan_C06_Instrument;Loan_ValuationDate;Loan_Side)</v>
      </c>
      <c r="B153" s="14"/>
      <c r="C153" s="14"/>
    </row>
    <row r="155" spans="1:3" ht="38.1" customHeight="1" x14ac:dyDescent="0.25">
      <c r="A155" s="2" t="s">
        <v>195</v>
      </c>
      <c r="B155" s="8" t="str">
        <f>IF(Loan_C06_Discount="FUNDING",Loan_FundingPricer,Loan_RiskFreePricer)</f>
        <v>QSObject:Pricer:w1~Loan.RiskFreePricer:25</v>
      </c>
      <c r="C155" s="5" t="s">
        <v>196</v>
      </c>
    </row>
    <row r="156" spans="1:3" ht="33.950000000000003" customHeight="1" x14ac:dyDescent="0.25">
      <c r="A156" s="14" t="str">
        <f ca="1">SUBSTITUTE(_xlfn.FORMULATEXT(B155),",",", ")</f>
        <v>=SI(Loan_C06_Discount="FUNDING";Loan_FundingPricer;Loan_RiskFreePricer)</v>
      </c>
      <c r="B156" s="14"/>
      <c r="C156" s="14"/>
    </row>
    <row r="158" spans="1:3" ht="38.1" customHeight="1" x14ac:dyDescent="0.25">
      <c r="A158" s="2" t="s">
        <v>197</v>
      </c>
      <c r="B158" s="8" t="str" cm="1">
        <f t="array" ref="B158">_xll.QS.EVALUATE.RESULTS(Loan_Context,Loan_C06_Trade,Loan_Requests,Loan_C06_Pricer)</f>
        <v>QSObject:EvaluationResults:w1~evaluation.2696406873024.157.1:61</v>
      </c>
      <c r="C158" s="5" t="s">
        <v>198</v>
      </c>
    </row>
    <row r="159" spans="1:3" ht="33.950000000000003" customHeight="1" x14ac:dyDescent="0.25">
      <c r="A159" s="14" t="str">
        <f ca="1">SUBSTITUTE(_xlfn.FORMULATEXT(B158),",",", ")</f>
        <v>=QS.EVALUATE.RESULTS(Loan_Context;Loan_C06_Trade;Loan_Requests;;Loan_C06_Pricer)</v>
      </c>
      <c r="B159" s="14"/>
      <c r="C159" s="14"/>
    </row>
    <row r="163" spans="1:3" ht="24" customHeight="1" x14ac:dyDescent="0.25">
      <c r="A163" s="15" t="s">
        <v>119</v>
      </c>
      <c r="B163" s="15"/>
      <c r="C163" s="15"/>
    </row>
    <row r="164" spans="1:3" ht="24" customHeight="1" x14ac:dyDescent="0.25">
      <c r="A164" s="4" t="s">
        <v>191</v>
      </c>
    </row>
    <row r="166" spans="1:3" ht="38.1" customHeight="1" x14ac:dyDescent="0.25">
      <c r="A166" s="2" t="s">
        <v>201</v>
      </c>
      <c r="B166" s="8" t="str" cm="1">
        <f t="array" ref="B166">_xll.QS.LOAN.SETTINGS("Loan.C07.Options",,,,,,,,,,,,,,Loan_C07_Setting_annualcpr)</f>
        <v>QSObject:LoanSettings:w1~Loan.C07.Options:4</v>
      </c>
      <c r="C166" s="5" t="s">
        <v>202</v>
      </c>
    </row>
    <row r="167" spans="1:3" ht="33.950000000000003" customHeight="1" x14ac:dyDescent="0.25">
      <c r="A167" s="14" t="str">
        <f ca="1">SUBSTITUTE(_xlfn.FORMULATEXT(B166),",",", ")</f>
        <v>=QS.LOAN.SETTINGS("Loan.C07.Options";;;;;;;;;;;;;;Loan_C07_Setting_annualcpr)</v>
      </c>
      <c r="B167" s="14"/>
      <c r="C167" s="14"/>
    </row>
    <row r="169" spans="1:3" ht="38.1" customHeight="1" x14ac:dyDescent="0.25">
      <c r="A169" s="2" t="s">
        <v>192</v>
      </c>
      <c r="B169" s="8" t="str" cm="1">
        <f t="array" ref="B169">_xll.QS.INSTRUMENT.LOAN("Loan.C07.Instrument",Loan_Start,Loan_Maturity,Loan_Currency,Loan_Notional,Loan_C07_Rate,Loan_C07_Index,Loan_C07_Repayment,Loan_Frequency,Loan_DayCounter,Loan_C07_Options,,,)</f>
        <v>QSObject:Loan:w1~Loan.C07.Instrument:27</v>
      </c>
      <c r="C169" s="5" t="s">
        <v>120</v>
      </c>
    </row>
    <row r="170" spans="1:3" ht="48" customHeight="1" x14ac:dyDescent="0.25">
      <c r="A170" s="14" t="str">
        <f ca="1">SUBSTITUTE(_xlfn.FORMULATEXT(B169),",",", ")</f>
        <v>=QS.INSTRUMENT.LOAN("Loan.C07.Instrument";Loan_Start;Loan_Maturity;Loan_Currency;Loan_Notional;Loan_C07_Rate;Loan_C07_Index;Loan_C07_Repayment;Loan_Frequency;Loan_DayCounter;Loan_C07_Options;;;)</v>
      </c>
      <c r="B170" s="14"/>
      <c r="C170" s="14"/>
    </row>
    <row r="172" spans="1:3" ht="38.1" customHeight="1" x14ac:dyDescent="0.25">
      <c r="A172" s="2" t="s">
        <v>193</v>
      </c>
      <c r="B172" s="8" t="str" cm="1">
        <f t="array" ref="B172">_xll.QS.TRADE.CREATE("Loan.C07.Trade",Loan_C07_Instrument,Loan_ValuationDate,Loan_Side)</f>
        <v>QSObject:LoanTrade:w1~Loan.C07.Trade:34</v>
      </c>
      <c r="C172" s="5" t="s">
        <v>194</v>
      </c>
    </row>
    <row r="173" spans="1:3" ht="33.950000000000003" customHeight="1" x14ac:dyDescent="0.25">
      <c r="A173" s="14" t="str">
        <f ca="1">SUBSTITUTE(_xlfn.FORMULATEXT(B172),",",", ")</f>
        <v>=QS.TRADE.CREATE("Loan.C07.Trade";Loan_C07_Instrument;Loan_ValuationDate;Loan_Side)</v>
      </c>
      <c r="B173" s="14"/>
      <c r="C173" s="14"/>
    </row>
    <row r="175" spans="1:3" ht="38.1" customHeight="1" x14ac:dyDescent="0.25">
      <c r="A175" s="2" t="s">
        <v>195</v>
      </c>
      <c r="B175" s="8" t="str">
        <f>IF(Loan_C07_Discount="FUNDING",Loan_FundingPricer,Loan_RiskFreePricer)</f>
        <v>QSObject:Pricer:w1~Loan.RiskFreePricer:25</v>
      </c>
      <c r="C175" s="5" t="s">
        <v>196</v>
      </c>
    </row>
    <row r="176" spans="1:3" ht="33.950000000000003" customHeight="1" x14ac:dyDescent="0.25">
      <c r="A176" s="14" t="str">
        <f ca="1">SUBSTITUTE(_xlfn.FORMULATEXT(B175),",",", ")</f>
        <v>=SI(Loan_C07_Discount="FUNDING";Loan_FundingPricer;Loan_RiskFreePricer)</v>
      </c>
      <c r="B176" s="14"/>
      <c r="C176" s="14"/>
    </row>
    <row r="178" spans="1:3" ht="38.1" customHeight="1" x14ac:dyDescent="0.25">
      <c r="A178" s="2" t="s">
        <v>197</v>
      </c>
      <c r="B178" s="8" t="str" cm="1">
        <f t="array" ref="B178">_xll.QS.EVALUATE.RESULTS(Loan_Context,Loan_C07_Trade,Loan_Requests,Loan_C07_Pricer)</f>
        <v>QSObject:EvaluationResults:w1~evaluation.2696406873024.177.1:63</v>
      </c>
      <c r="C178" s="5" t="s">
        <v>198</v>
      </c>
    </row>
    <row r="179" spans="1:3" ht="33.950000000000003" customHeight="1" x14ac:dyDescent="0.25">
      <c r="A179" s="14" t="str">
        <f ca="1">SUBSTITUTE(_xlfn.FORMULATEXT(B178),",",", ")</f>
        <v>=QS.EVALUATE.RESULTS(Loan_Context;Loan_C07_Trade;Loan_Requests;;Loan_C07_Pricer)</v>
      </c>
      <c r="B179" s="14"/>
      <c r="C179" s="14"/>
    </row>
    <row r="181" spans="1:3" ht="38.1" customHeight="1" x14ac:dyDescent="0.25">
      <c r="A181" s="2" t="s">
        <v>199</v>
      </c>
      <c r="B181" s="8" t="str" cm="1">
        <f t="array" ref="B181">_xll.QS.EVALUATE.RESULTS(Loan_Context,Loan_C07_Trade,Loan_Request0,Loan_C07_Pricer)</f>
        <v>QSObject:EvaluationResults:w1~evaluation.2696406873024.180.1:64</v>
      </c>
      <c r="C181" s="5" t="s">
        <v>200</v>
      </c>
    </row>
    <row r="182" spans="1:3" ht="33.950000000000003" customHeight="1" x14ac:dyDescent="0.25">
      <c r="A182" s="14" t="str">
        <f ca="1">SUBSTITUTE(_xlfn.FORMULATEXT(B181),",",", ")</f>
        <v>=QS.EVALUATE.RESULTS(Loan_Context;Loan_C07_Trade;Loan_Request0;;Loan_C07_Pricer)</v>
      </c>
      <c r="B182" s="14"/>
      <c r="C182" s="14"/>
    </row>
    <row r="186" spans="1:3" ht="24" customHeight="1" x14ac:dyDescent="0.25">
      <c r="A186" s="15" t="s">
        <v>122</v>
      </c>
      <c r="B186" s="15"/>
      <c r="C186" s="15"/>
    </row>
    <row r="187" spans="1:3" ht="24" customHeight="1" x14ac:dyDescent="0.25">
      <c r="A187" s="4" t="s">
        <v>191</v>
      </c>
    </row>
    <row r="189" spans="1:3" ht="38.1" customHeight="1" x14ac:dyDescent="0.25">
      <c r="A189" s="2" t="s">
        <v>201</v>
      </c>
      <c r="B189" s="8" t="str" cm="1">
        <f t="array" ref="B189">_xll.QS.LOAN.SETTINGS("Loan.C08.Options",,,Loan_C08_Setting_creditindex,Loan_C08_Setting_recovery)</f>
        <v>QSObject:LoanSettings:w1~Loan.C08.Options:7</v>
      </c>
      <c r="C189" s="5" t="s">
        <v>202</v>
      </c>
    </row>
    <row r="190" spans="1:3" ht="33.950000000000003" customHeight="1" x14ac:dyDescent="0.25">
      <c r="A190" s="14" t="str">
        <f ca="1">SUBSTITUTE(_xlfn.FORMULATEXT(B189),",",", ")</f>
        <v>=QS.LOAN.SETTINGS("Loan.C08.Options";;;Loan_C08_Setting_creditindex;Loan_C08_Setting_recovery)</v>
      </c>
      <c r="B190" s="14"/>
      <c r="C190" s="14"/>
    </row>
    <row r="192" spans="1:3" ht="38.1" customHeight="1" x14ac:dyDescent="0.25">
      <c r="A192" s="2" t="s">
        <v>192</v>
      </c>
      <c r="B192" s="8" t="str" cm="1">
        <f t="array" ref="B192">_xll.QS.INSTRUMENT.LOAN("Loan.C08.Instrument",Loan_Start,Loan_Maturity,Loan_Currency,Loan_Notional,Loan_C08_Rate,Loan_C08_Index,Loan_C08_Repayment,Loan_Frequency,Loan_DayCounter,Loan_C08_Options,,,)</f>
        <v>QSObject:Loan:w1~Loan.C08.Instrument:26</v>
      </c>
      <c r="C192" s="5" t="s">
        <v>123</v>
      </c>
    </row>
    <row r="193" spans="1:3" ht="48" customHeight="1" x14ac:dyDescent="0.25">
      <c r="A193" s="14" t="str">
        <f ca="1">SUBSTITUTE(_xlfn.FORMULATEXT(B192),",",", ")</f>
        <v>=QS.INSTRUMENT.LOAN("Loan.C08.Instrument";Loan_Start;Loan_Maturity;Loan_Currency;Loan_Notional;Loan_C08_Rate;Loan_C08_Index;Loan_C08_Repayment;Loan_Frequency;Loan_DayCounter;Loan_C08_Options;;;)</v>
      </c>
      <c r="B193" s="14"/>
      <c r="C193" s="14"/>
    </row>
    <row r="195" spans="1:3" ht="38.1" customHeight="1" x14ac:dyDescent="0.25">
      <c r="A195" s="2" t="s">
        <v>193</v>
      </c>
      <c r="B195" s="8" t="str" cm="1">
        <f t="array" ref="B195">_xll.QS.TRADE.CREATE("Loan.C08.Trade",Loan_C08_Instrument,Loan_ValuationDate,Loan_Side)</f>
        <v>QSObject:LoanTrade:w1~Loan.C08.Trade:32</v>
      </c>
      <c r="C195" s="5" t="s">
        <v>194</v>
      </c>
    </row>
    <row r="196" spans="1:3" ht="33.950000000000003" customHeight="1" x14ac:dyDescent="0.25">
      <c r="A196" s="14" t="str">
        <f ca="1">SUBSTITUTE(_xlfn.FORMULATEXT(B195),",",", ")</f>
        <v>=QS.TRADE.CREATE("Loan.C08.Trade";Loan_C08_Instrument;Loan_ValuationDate;Loan_Side)</v>
      </c>
      <c r="B196" s="14"/>
      <c r="C196" s="14"/>
    </row>
    <row r="198" spans="1:3" ht="38.1" customHeight="1" x14ac:dyDescent="0.25">
      <c r="A198" s="2" t="s">
        <v>195</v>
      </c>
      <c r="B198" s="8" t="str">
        <f>IF(Loan_C08_Discount="FUNDING",Loan_FundingPricer,Loan_RiskFreePricer)</f>
        <v>QSObject:Pricer:w1~Loan.RiskFreePricer:25</v>
      </c>
      <c r="C198" s="5" t="s">
        <v>196</v>
      </c>
    </row>
    <row r="199" spans="1:3" ht="33.950000000000003" customHeight="1" x14ac:dyDescent="0.25">
      <c r="A199" s="14" t="str">
        <f ca="1">SUBSTITUTE(_xlfn.FORMULATEXT(B198),",",", ")</f>
        <v>=SI(Loan_C08_Discount="FUNDING";Loan_FundingPricer;Loan_RiskFreePricer)</v>
      </c>
      <c r="B199" s="14"/>
      <c r="C199" s="14"/>
    </row>
    <row r="201" spans="1:3" ht="38.1" customHeight="1" x14ac:dyDescent="0.25">
      <c r="A201" s="2" t="s">
        <v>197</v>
      </c>
      <c r="B201" s="8" t="str" cm="1">
        <f t="array" ref="B201">_xll.QS.EVALUATE.RESULTS(Loan_Context,Loan_C08_Trade,Loan_Requests,Loan_C08_Pricer)</f>
        <v>QSObject:EvaluationResults:w1~evaluation.2696406873024.200.1:45</v>
      </c>
      <c r="C201" s="5" t="s">
        <v>198</v>
      </c>
    </row>
    <row r="202" spans="1:3" ht="33.950000000000003" customHeight="1" x14ac:dyDescent="0.25">
      <c r="A202" s="14" t="str">
        <f ca="1">SUBSTITUTE(_xlfn.FORMULATEXT(B201),",",", ")</f>
        <v>=QS.EVALUATE.RESULTS(Loan_Context;Loan_C08_Trade;Loan_Requests;;Loan_C08_Pricer)</v>
      </c>
      <c r="B202" s="14"/>
      <c r="C202" s="14"/>
    </row>
    <row r="204" spans="1:3" ht="38.1" customHeight="1" x14ac:dyDescent="0.25">
      <c r="A204" s="2" t="s">
        <v>199</v>
      </c>
      <c r="B204" s="8" t="str" cm="1">
        <f t="array" ref="B204">_xll.QS.EVALUATE.RESULTS(Loan_Context,Loan_C08_Trade,Loan_Request0,Loan_C08_Pricer)</f>
        <v>QSObject:EvaluationResults:w1~evaluation.2696406873024.203.1:53</v>
      </c>
      <c r="C204" s="5" t="s">
        <v>200</v>
      </c>
    </row>
    <row r="205" spans="1:3" ht="33.950000000000003" customHeight="1" x14ac:dyDescent="0.25">
      <c r="A205" s="14" t="str">
        <f ca="1">SUBSTITUTE(_xlfn.FORMULATEXT(B204),",",", ")</f>
        <v>=QS.EVALUATE.RESULTS(Loan_Context;Loan_C08_Trade;Loan_Request0;;Loan_C08_Pricer)</v>
      </c>
      <c r="B205" s="14"/>
      <c r="C205" s="14"/>
    </row>
    <row r="209" spans="1:3" ht="24" customHeight="1" x14ac:dyDescent="0.25">
      <c r="A209" s="15" t="s">
        <v>127</v>
      </c>
      <c r="B209" s="15"/>
      <c r="C209" s="15"/>
    </row>
    <row r="210" spans="1:3" ht="24" customHeight="1" x14ac:dyDescent="0.25">
      <c r="A210" s="4" t="s">
        <v>191</v>
      </c>
    </row>
    <row r="212" spans="1:3" ht="38.1" customHeight="1" x14ac:dyDescent="0.25">
      <c r="A212" s="2" t="s">
        <v>192</v>
      </c>
      <c r="B212" s="8" t="str" cm="1">
        <f t="array" ref="B212">_xll.QS.INSTRUMENT.LOAN("Loan.C09.Instrument",Loan_Start,Loan_Maturity,Loan_Currency,Loan_Notional,Loan_C09_Rate,Loan_C09_Index,Loan_C09_Repayment,Loan_Frequency,Loan_DayCounter,,,,)</f>
        <v>QSObject:Loan:w1~Loan.C09.Instrument:6</v>
      </c>
      <c r="C212" s="5" t="s">
        <v>128</v>
      </c>
    </row>
    <row r="213" spans="1:3" ht="48" customHeight="1" x14ac:dyDescent="0.25">
      <c r="A213" s="14" t="str">
        <f ca="1">SUBSTITUTE(_xlfn.FORMULATEXT(B212),",",", ")</f>
        <v>=QS.INSTRUMENT.LOAN("Loan.C09.Instrument";Loan_Start;Loan_Maturity;Loan_Currency;Loan_Notional;Loan_C09_Rate;Loan_C09_Index;Loan_C09_Repayment;Loan_Frequency;Loan_DayCounter;;;;)</v>
      </c>
      <c r="B213" s="14"/>
      <c r="C213" s="14"/>
    </row>
    <row r="215" spans="1:3" ht="38.1" customHeight="1" x14ac:dyDescent="0.25">
      <c r="A215" s="2" t="s">
        <v>193</v>
      </c>
      <c r="B215" s="8" t="str" cm="1">
        <f t="array" ref="B215">_xll.QS.TRADE.CREATE("Loan.C09.Trade",Loan_C09_Instrument,Loan_ValuationDate,Loan_Side)</f>
        <v>QSObject:LoanTrade:w1~Loan.C09.Trade:23</v>
      </c>
      <c r="C215" s="5" t="s">
        <v>194</v>
      </c>
    </row>
    <row r="216" spans="1:3" ht="33.950000000000003" customHeight="1" x14ac:dyDescent="0.25">
      <c r="A216" s="14" t="str">
        <f ca="1">SUBSTITUTE(_xlfn.FORMULATEXT(B215),",",", ")</f>
        <v>=QS.TRADE.CREATE("Loan.C09.Trade";Loan_C09_Instrument;Loan_ValuationDate;Loan_Side)</v>
      </c>
      <c r="B216" s="14"/>
      <c r="C216" s="14"/>
    </row>
    <row r="218" spans="1:3" ht="38.1" customHeight="1" x14ac:dyDescent="0.25">
      <c r="A218" s="2" t="s">
        <v>195</v>
      </c>
      <c r="B218" s="8" t="str">
        <f>IF(Loan_C09_Discount="FUNDING",Loan_FundingPricer,Loan_RiskFreePricer)</f>
        <v>QSObject:Pricer:w1~Loan.FundingPricer:29</v>
      </c>
      <c r="C218" s="5" t="s">
        <v>196</v>
      </c>
    </row>
    <row r="219" spans="1:3" ht="33.950000000000003" customHeight="1" x14ac:dyDescent="0.25">
      <c r="A219" s="14" t="str">
        <f ca="1">SUBSTITUTE(_xlfn.FORMULATEXT(B218),",",", ")</f>
        <v>=SI(Loan_C09_Discount="FUNDING";Loan_FundingPricer;Loan_RiskFreePricer)</v>
      </c>
      <c r="B219" s="14"/>
      <c r="C219" s="14"/>
    </row>
    <row r="221" spans="1:3" ht="38.1" customHeight="1" x14ac:dyDescent="0.25">
      <c r="A221" s="2" t="s">
        <v>197</v>
      </c>
      <c r="B221" s="8" t="str" cm="1">
        <f t="array" ref="B221">_xll.QS.EVALUATE.RESULTS(Loan_Context,Loan_C09_Trade,Loan_Requests,Loan_C09_Pricer)</f>
        <v>QSObject:EvaluationResults:w1~evaluation.2696406873024.220.1:49</v>
      </c>
      <c r="C221" s="5" t="s">
        <v>198</v>
      </c>
    </row>
    <row r="222" spans="1:3" ht="33.950000000000003" customHeight="1" x14ac:dyDescent="0.25">
      <c r="A222" s="14" t="str">
        <f ca="1">SUBSTITUTE(_xlfn.FORMULATEXT(B221),",",", ")</f>
        <v>=QS.EVALUATE.RESULTS(Loan_Context;Loan_C09_Trade;Loan_Requests;;Loan_C09_Pricer)</v>
      </c>
      <c r="B222" s="14"/>
      <c r="C222" s="14"/>
    </row>
    <row r="224" spans="1:3" ht="38.1" customHeight="1" x14ac:dyDescent="0.25">
      <c r="A224" s="2" t="s">
        <v>199</v>
      </c>
      <c r="B224" s="8" t="str" cm="1">
        <f t="array" ref="B224">_xll.QS.EVALUATE.RESULTS(Loan_Context,Loan_C09_Trade,Loan_Request0,Loan_C09_Pricer)</f>
        <v>QSObject:EvaluationResults:w1~evaluation.2696406873024.223.1:59</v>
      </c>
      <c r="C224" s="5" t="s">
        <v>200</v>
      </c>
    </row>
    <row r="225" spans="1:3" ht="33.950000000000003" customHeight="1" x14ac:dyDescent="0.25">
      <c r="A225" s="14" t="str">
        <f ca="1">SUBSTITUTE(_xlfn.FORMULATEXT(B224),",",", ")</f>
        <v>=QS.EVALUATE.RESULTS(Loan_Context;Loan_C09_Trade;Loan_Request0;;Loan_C09_Pricer)</v>
      </c>
      <c r="B225" s="14"/>
      <c r="C225" s="14"/>
    </row>
    <row r="229" spans="1:3" ht="24" customHeight="1" x14ac:dyDescent="0.25">
      <c r="A229" s="15" t="s">
        <v>129</v>
      </c>
      <c r="B229" s="15"/>
      <c r="C229" s="15"/>
    </row>
    <row r="230" spans="1:3" ht="24" customHeight="1" x14ac:dyDescent="0.25">
      <c r="A230" s="4" t="s">
        <v>191</v>
      </c>
    </row>
    <row r="232" spans="1:3" ht="38.1" customHeight="1" x14ac:dyDescent="0.25">
      <c r="A232" s="2" t="s">
        <v>201</v>
      </c>
      <c r="B232" s="8" t="str" cm="1">
        <f t="array" ref="B232">_xll.QS.LOAN.SETTINGS("Loan.C10.Options",,Loan_C10_Setting_amortizationrate)</f>
        <v>QSObject:LoanSettings:w1~Loan.C10.Options:3</v>
      </c>
      <c r="C232" s="5" t="s">
        <v>202</v>
      </c>
    </row>
    <row r="233" spans="1:3" ht="33.950000000000003" customHeight="1" x14ac:dyDescent="0.25">
      <c r="A233" s="14" t="str">
        <f ca="1">SUBSTITUTE(_xlfn.FORMULATEXT(B232),",",", ")</f>
        <v>=QS.LOAN.SETTINGS("Loan.C10.Options";;Loan_C10_Setting_amortizationrate)</v>
      </c>
      <c r="B233" s="14"/>
      <c r="C233" s="14"/>
    </row>
    <row r="235" spans="1:3" ht="38.1" customHeight="1" x14ac:dyDescent="0.25">
      <c r="A235" s="2" t="s">
        <v>192</v>
      </c>
      <c r="B235" s="8" t="str" cm="1">
        <f t="array" ref="B235">_xll.QS.INSTRUMENT.LOAN("Loan.C10.Instrument",Loan_Start,Loan_Maturity,Loan_Currency,Loan_Notional,Loan_C10_Rate,Loan_C10_Index,Loan_C10_Repayment,Loan_Frequency,Loan_DayCounter,Loan_C10_Options,,,)</f>
        <v>QSObject:Loan:w1~Loan.C10.Instrument:19</v>
      </c>
      <c r="C235" s="5" t="s">
        <v>130</v>
      </c>
    </row>
    <row r="236" spans="1:3" ht="48" customHeight="1" x14ac:dyDescent="0.25">
      <c r="A236" s="14" t="str">
        <f ca="1">SUBSTITUTE(_xlfn.FORMULATEXT(B235),",",", ")</f>
        <v>=QS.INSTRUMENT.LOAN("Loan.C10.Instrument";Loan_Start;Loan_Maturity;Loan_Currency;Loan_Notional;Loan_C10_Rate;Loan_C10_Index;Loan_C10_Repayment;Loan_Frequency;Loan_DayCounter;Loan_C10_Options;;;)</v>
      </c>
      <c r="B236" s="14"/>
      <c r="C236" s="14"/>
    </row>
    <row r="238" spans="1:3" ht="38.1" customHeight="1" x14ac:dyDescent="0.25">
      <c r="A238" s="2" t="s">
        <v>193</v>
      </c>
      <c r="B238" s="8" t="str" cm="1">
        <f t="array" ref="B238">_xll.QS.TRADE.CREATE("Loan.C10.Trade",Loan_C10_Instrument,Loan_ValuationDate,Loan_Side)</f>
        <v>QSObject:LoanTrade:w1~Loan.C10.Trade:30</v>
      </c>
      <c r="C238" s="5" t="s">
        <v>194</v>
      </c>
    </row>
    <row r="239" spans="1:3" ht="33.950000000000003" customHeight="1" x14ac:dyDescent="0.25">
      <c r="A239" s="14" t="str">
        <f ca="1">SUBSTITUTE(_xlfn.FORMULATEXT(B238),",",", ")</f>
        <v>=QS.TRADE.CREATE("Loan.C10.Trade";Loan_C10_Instrument;Loan_ValuationDate;Loan_Side)</v>
      </c>
      <c r="B239" s="14"/>
      <c r="C239" s="14"/>
    </row>
    <row r="241" spans="1:3" ht="38.1" customHeight="1" x14ac:dyDescent="0.25">
      <c r="A241" s="2" t="s">
        <v>195</v>
      </c>
      <c r="B241" s="8" t="str">
        <f>IF(Loan_C10_Discount="FUNDING",Loan_FundingPricer,Loan_RiskFreePricer)</f>
        <v>QSObject:Pricer:w1~Loan.FundingPricer:29</v>
      </c>
      <c r="C241" s="5" t="s">
        <v>196</v>
      </c>
    </row>
    <row r="242" spans="1:3" ht="33.950000000000003" customHeight="1" x14ac:dyDescent="0.25">
      <c r="A242" s="14" t="str">
        <f ca="1">SUBSTITUTE(_xlfn.FORMULATEXT(B241),",",", ")</f>
        <v>=SI(Loan_C10_Discount="FUNDING";Loan_FundingPricer;Loan_RiskFreePricer)</v>
      </c>
      <c r="B242" s="14"/>
      <c r="C242" s="14"/>
    </row>
    <row r="244" spans="1:3" ht="38.1" customHeight="1" x14ac:dyDescent="0.25">
      <c r="A244" s="2" t="s">
        <v>197</v>
      </c>
      <c r="B244" s="8" t="str" cm="1">
        <f t="array" ref="B244">_xll.QS.EVALUATE.RESULTS(Loan_Context,Loan_C10_Trade,Loan_Requests,Loan_C10_Pricer)</f>
        <v>QSObject:EvaluationResults:w1~evaluation.2696406873024.243.1:43</v>
      </c>
      <c r="C244" s="5" t="s">
        <v>198</v>
      </c>
    </row>
    <row r="245" spans="1:3" ht="33.950000000000003" customHeight="1" x14ac:dyDescent="0.25">
      <c r="A245" s="14" t="str">
        <f ca="1">SUBSTITUTE(_xlfn.FORMULATEXT(B244),",",", ")</f>
        <v>=QS.EVALUATE.RESULTS(Loan_Context;Loan_C10_Trade;Loan_Requests;;Loan_C10_Pricer)</v>
      </c>
      <c r="B245" s="14"/>
      <c r="C245" s="14"/>
    </row>
    <row r="247" spans="1:3" ht="38.1" customHeight="1" x14ac:dyDescent="0.25">
      <c r="A247" s="2" t="s">
        <v>199</v>
      </c>
      <c r="B247" s="8" t="str" cm="1">
        <f t="array" ref="B247">_xll.QS.EVALUATE.RESULTS(Loan_Context,Loan_C10_Trade,Loan_Request0,Loan_C10_Pricer)</f>
        <v>QSObject:EvaluationResults:w1~evaluation.2696406873024.246.1:54</v>
      </c>
      <c r="C247" s="5" t="s">
        <v>200</v>
      </c>
    </row>
    <row r="248" spans="1:3" ht="33.950000000000003" customHeight="1" x14ac:dyDescent="0.25">
      <c r="A248" s="14" t="str">
        <f ca="1">SUBSTITUTE(_xlfn.FORMULATEXT(B247),",",", ")</f>
        <v>=QS.EVALUATE.RESULTS(Loan_Context;Loan_C10_Trade;Loan_Request0;;Loan_C10_Pricer)</v>
      </c>
      <c r="B248" s="14"/>
      <c r="C248" s="14"/>
    </row>
    <row r="252" spans="1:3" ht="24" customHeight="1" x14ac:dyDescent="0.25">
      <c r="A252" s="15" t="s">
        <v>131</v>
      </c>
      <c r="B252" s="15"/>
      <c r="C252" s="15"/>
    </row>
    <row r="253" spans="1:3" ht="24" customHeight="1" x14ac:dyDescent="0.25">
      <c r="A253" s="4" t="s">
        <v>191</v>
      </c>
    </row>
    <row r="255" spans="1:3" ht="38.1" customHeight="1" x14ac:dyDescent="0.25">
      <c r="A255" s="2" t="s">
        <v>192</v>
      </c>
      <c r="B255" s="8" t="str" cm="1">
        <f t="array" ref="B255">_xll.QS.INSTRUMENT.LOAN("Loan.C11.Instrument",Loan_Start,Loan_Maturity,Loan_Currency,Loan_Notional,Loan_C11_Rate,Loan_C11_Index,Loan_C11_Repayment,Loan_Frequency,Loan_DayCounter,,Loan_C11_CouponPeriods,Loan_C11_CouponRates,Loan_C11_CouponIndices)</f>
        <v>QSObject:Loan:w1~Loan.C11.Instrument:2</v>
      </c>
      <c r="C255" s="5" t="s">
        <v>132</v>
      </c>
    </row>
    <row r="256" spans="1:3" ht="48" customHeight="1" x14ac:dyDescent="0.25">
      <c r="A256" s="14" t="str">
        <f ca="1">SUBSTITUTE(_xlfn.FORMULATEXT(B255),",",", ")</f>
        <v>=QS.INSTRUMENT.LOAN("Loan.C11.Instrument";Loan_Start;Loan_Maturity;Loan_Currency;Loan_Notional;Loan_C11_Rate;Loan_C11_Index;Loan_C11_Repayment;Loan_Frequency;Loan_DayCounter;;Loan_C11_CouponPeriods;Loan_C11_CouponRates;Loan_C11_CouponIndices)</v>
      </c>
      <c r="B256" s="14"/>
      <c r="C256" s="14"/>
    </row>
    <row r="258" spans="1:3" ht="38.1" customHeight="1" x14ac:dyDescent="0.25">
      <c r="A258" s="2" t="s">
        <v>193</v>
      </c>
      <c r="B258" s="8" t="str" cm="1">
        <f t="array" ref="B258">_xll.QS.TRADE.CREATE("Loan.C11.Trade",Loan_C11_Instrument,Loan_ValuationDate,Loan_Side)</f>
        <v>QSObject:LoanTrade:w1~Loan.C11.Trade:17</v>
      </c>
      <c r="C258" s="5" t="s">
        <v>194</v>
      </c>
    </row>
    <row r="259" spans="1:3" ht="33.950000000000003" customHeight="1" x14ac:dyDescent="0.25">
      <c r="A259" s="14" t="str">
        <f ca="1">SUBSTITUTE(_xlfn.FORMULATEXT(B258),",",", ")</f>
        <v>=QS.TRADE.CREATE("Loan.C11.Trade";Loan_C11_Instrument;Loan_ValuationDate;Loan_Side)</v>
      </c>
      <c r="B259" s="14"/>
      <c r="C259" s="14"/>
    </row>
    <row r="261" spans="1:3" ht="38.1" customHeight="1" x14ac:dyDescent="0.25">
      <c r="A261" s="2" t="s">
        <v>195</v>
      </c>
      <c r="B261" s="8" t="str">
        <f>IF(Loan_C11_Discount="FUNDING",Loan_FundingPricer,Loan_RiskFreePricer)</f>
        <v>QSObject:Pricer:w1~Loan.RiskFreePricer:25</v>
      </c>
      <c r="C261" s="5" t="s">
        <v>196</v>
      </c>
    </row>
    <row r="262" spans="1:3" ht="33.950000000000003" customHeight="1" x14ac:dyDescent="0.25">
      <c r="A262" s="14" t="str">
        <f ca="1">SUBSTITUTE(_xlfn.FORMULATEXT(B261),",",", ")</f>
        <v>=SI(Loan_C11_Discount="FUNDING";Loan_FundingPricer;Loan_RiskFreePricer)</v>
      </c>
      <c r="B262" s="14"/>
      <c r="C262" s="14"/>
    </row>
    <row r="264" spans="1:3" ht="38.1" customHeight="1" x14ac:dyDescent="0.25">
      <c r="A264" s="2" t="s">
        <v>197</v>
      </c>
      <c r="B264" s="8" t="str" cm="1">
        <f t="array" ref="B264">_xll.QS.EVALUATE.RESULTS(Loan_Context,Loan_C11_Trade,Loan_Requests,Loan_C11_Pricer)</f>
        <v>QSObject:EvaluationResults:w1~evaluation.2696406873024.263.1:68</v>
      </c>
      <c r="C264" s="5" t="s">
        <v>198</v>
      </c>
    </row>
    <row r="265" spans="1:3" ht="33.950000000000003" customHeight="1" x14ac:dyDescent="0.25">
      <c r="A265" s="14" t="str">
        <f ca="1">SUBSTITUTE(_xlfn.FORMULATEXT(B264),",",", ")</f>
        <v>=QS.EVALUATE.RESULTS(Loan_Context;Loan_C11_Trade;Loan_Requests;;Loan_C11_Pricer)</v>
      </c>
      <c r="B265" s="14"/>
      <c r="C265" s="14"/>
    </row>
    <row r="267" spans="1:3" ht="38.1" customHeight="1" x14ac:dyDescent="0.25">
      <c r="A267" s="2" t="s">
        <v>199</v>
      </c>
      <c r="B267" s="8" t="str" cm="1">
        <f t="array" ref="B267">_xll.QS.EVALUATE.RESULTS(Loan_Context,Loan_C11_Trade,Loan_Request0,Loan_C11_Pricer)</f>
        <v>QSObject:EvaluationResults:w1~evaluation.2696406873024.266.1:67</v>
      </c>
      <c r="C267" s="5" t="s">
        <v>200</v>
      </c>
    </row>
    <row r="268" spans="1:3" ht="33.950000000000003" customHeight="1" x14ac:dyDescent="0.25">
      <c r="A268" s="14" t="str">
        <f ca="1">SUBSTITUTE(_xlfn.FORMULATEXT(B267),",",", ")</f>
        <v>=QS.EVALUATE.RESULTS(Loan_Context;Loan_C11_Trade;Loan_Request0;;Loan_C11_Pricer)</v>
      </c>
      <c r="B268" s="14"/>
      <c r="C268" s="14"/>
    </row>
    <row r="270" spans="1:3" ht="38.1" customHeight="1" x14ac:dyDescent="0.25">
      <c r="A270" s="2" t="s">
        <v>203</v>
      </c>
      <c r="B270" s="8" t="str" cm="1">
        <f t="array" ref="B270">_xll.QS.EVALUATE.RESULTS(Loan_Context,Loan_C11_Trade,Loan_Request1,Loan_C11_Pricer)</f>
        <v>QSObject:EvaluationResults:w1~evaluation.2696406873024.269.1:52</v>
      </c>
      <c r="C270" s="5" t="s">
        <v>200</v>
      </c>
    </row>
    <row r="271" spans="1:3" ht="33.950000000000003" customHeight="1" x14ac:dyDescent="0.25">
      <c r="A271" s="14" t="str">
        <f ca="1">SUBSTITUTE(_xlfn.FORMULATEXT(B270),",",", ")</f>
        <v>=QS.EVALUATE.RESULTS(Loan_Context;Loan_C11_Trade;Loan_Request1;;Loan_C11_Pricer)</v>
      </c>
      <c r="B271" s="14"/>
      <c r="C271" s="14"/>
    </row>
    <row r="273" spans="1:3" ht="38.1" customHeight="1" x14ac:dyDescent="0.25">
      <c r="A273" s="2" t="s">
        <v>204</v>
      </c>
      <c r="B273" s="8" t="str" cm="1">
        <f t="array" ref="B273">_xll.QS.EVALUATE.RESULTS(Loan_Context,Loan_C11_Trade,Loan_Request2,Loan_C11_Pricer)</f>
        <v>QSObject:EvaluationResults:w1~evaluation.2696406873024.272.1:42</v>
      </c>
      <c r="C273" s="5" t="s">
        <v>200</v>
      </c>
    </row>
    <row r="274" spans="1:3" ht="33.950000000000003" customHeight="1" x14ac:dyDescent="0.25">
      <c r="A274" s="14" t="str">
        <f ca="1">SUBSTITUTE(_xlfn.FORMULATEXT(B273),",",", ")</f>
        <v>=QS.EVALUATE.RESULTS(Loan_Context;Loan_C11_Trade;Loan_Request2;;Loan_C11_Pricer)</v>
      </c>
      <c r="B274" s="14"/>
      <c r="C274" s="14"/>
    </row>
    <row r="278" spans="1:3" ht="24" customHeight="1" x14ac:dyDescent="0.25">
      <c r="A278" s="15" t="s">
        <v>133</v>
      </c>
      <c r="B278" s="15"/>
      <c r="C278" s="15"/>
    </row>
    <row r="279" spans="1:3" ht="24" customHeight="1" x14ac:dyDescent="0.25">
      <c r="A279" s="4" t="s">
        <v>191</v>
      </c>
    </row>
    <row r="281" spans="1:3" ht="38.1" customHeight="1" x14ac:dyDescent="0.25">
      <c r="A281" s="2" t="s">
        <v>192</v>
      </c>
      <c r="B281" s="8" t="str" cm="1">
        <f t="array" ref="B281">_xll.QS.INSTRUMENT.LOAN("Loan.C12.Instrument",Loan_Start,Loan_Maturity,Loan_Currency,Loan_Notional,Loan_C12_Rate,Loan_C12_Index,Loan_C12_Repayment,Loan_Frequency,Loan_DayCounter,,Loan_C12_CouponPeriods,Loan_C12_CouponRates,Loan_C12_CouponIndices)</f>
        <v>QSObject:Loan:w1~Loan.C12.Instrument:1</v>
      </c>
      <c r="C281" s="5" t="s">
        <v>134</v>
      </c>
    </row>
    <row r="282" spans="1:3" ht="48" customHeight="1" x14ac:dyDescent="0.25">
      <c r="A282" s="14" t="str">
        <f ca="1">SUBSTITUTE(_xlfn.FORMULATEXT(B281),",",", ")</f>
        <v>=QS.INSTRUMENT.LOAN("Loan.C12.Instrument";Loan_Start;Loan_Maturity;Loan_Currency;Loan_Notional;Loan_C12_Rate;Loan_C12_Index;Loan_C12_Repayment;Loan_Frequency;Loan_DayCounter;;Loan_C12_CouponPeriods;Loan_C12_CouponRates;Loan_C12_CouponIndices)</v>
      </c>
      <c r="B282" s="14"/>
      <c r="C282" s="14"/>
    </row>
    <row r="284" spans="1:3" ht="38.1" customHeight="1" x14ac:dyDescent="0.25">
      <c r="A284" s="2" t="s">
        <v>193</v>
      </c>
      <c r="B284" s="8" t="str" cm="1">
        <f t="array" ref="B284">_xll.QS.TRADE.CREATE("Loan.C12.Trade",Loan_C12_Instrument,Loan_ValuationDate,Loan_Side)</f>
        <v>QSObject:LoanTrade:w1~Loan.C12.Trade:16</v>
      </c>
      <c r="C284" s="5" t="s">
        <v>194</v>
      </c>
    </row>
    <row r="285" spans="1:3" ht="33.950000000000003" customHeight="1" x14ac:dyDescent="0.25">
      <c r="A285" s="14" t="str">
        <f ca="1">SUBSTITUTE(_xlfn.FORMULATEXT(B284),",",", ")</f>
        <v>=QS.TRADE.CREATE("Loan.C12.Trade";Loan_C12_Instrument;Loan_ValuationDate;Loan_Side)</v>
      </c>
      <c r="B285" s="14"/>
      <c r="C285" s="14"/>
    </row>
    <row r="287" spans="1:3" ht="38.1" customHeight="1" x14ac:dyDescent="0.25">
      <c r="A287" s="2" t="s">
        <v>195</v>
      </c>
      <c r="B287" s="8" t="str">
        <f>IF(Loan_C12_Discount="FUNDING",Loan_FundingPricer,Loan_RiskFreePricer)</f>
        <v>QSObject:Pricer:w1~Loan.RiskFreePricer:25</v>
      </c>
      <c r="C287" s="5" t="s">
        <v>196</v>
      </c>
    </row>
    <row r="288" spans="1:3" ht="33.950000000000003" customHeight="1" x14ac:dyDescent="0.25">
      <c r="A288" s="14" t="str">
        <f ca="1">SUBSTITUTE(_xlfn.FORMULATEXT(B287),",",", ")</f>
        <v>=SI(Loan_C12_Discount="FUNDING";Loan_FundingPricer;Loan_RiskFreePricer)</v>
      </c>
      <c r="B288" s="14"/>
      <c r="C288" s="14"/>
    </row>
    <row r="290" spans="1:3" ht="38.1" customHeight="1" x14ac:dyDescent="0.25">
      <c r="A290" s="2" t="s">
        <v>197</v>
      </c>
      <c r="B290" s="8" t="str" cm="1">
        <f t="array" ref="B290">_xll.QS.EVALUATE.RESULTS(Loan_Context,Loan_C12_Trade,Loan_Requests,Loan_C12_Pricer)</f>
        <v>QSObject:EvaluationResults:w1~evaluation.2696406873024.289.1:70</v>
      </c>
      <c r="C290" s="5" t="s">
        <v>198</v>
      </c>
    </row>
    <row r="291" spans="1:3" ht="33.950000000000003" customHeight="1" x14ac:dyDescent="0.25">
      <c r="A291" s="14" t="str">
        <f ca="1">SUBSTITUTE(_xlfn.FORMULATEXT(B290),",",", ")</f>
        <v>=QS.EVALUATE.RESULTS(Loan_Context;Loan_C12_Trade;Loan_Requests;;Loan_C12_Pricer)</v>
      </c>
      <c r="B291" s="14"/>
      <c r="C291" s="14"/>
    </row>
    <row r="293" spans="1:3" ht="38.1" customHeight="1" x14ac:dyDescent="0.25">
      <c r="A293" s="2" t="s">
        <v>199</v>
      </c>
      <c r="B293" s="8" t="str" cm="1">
        <f t="array" ref="B293">_xll.QS.EVALUATE.RESULTS(Loan_Context,Loan_C12_Trade,Loan_Request0,Loan_C12_Pricer)</f>
        <v>QSObject:EvaluationResults:w1~evaluation.2696406873024.292.1:69</v>
      </c>
      <c r="C293" s="5" t="s">
        <v>200</v>
      </c>
    </row>
    <row r="294" spans="1:3" ht="33.950000000000003" customHeight="1" x14ac:dyDescent="0.25">
      <c r="A294" s="14" t="str">
        <f ca="1">SUBSTITUTE(_xlfn.FORMULATEXT(B293),",",", ")</f>
        <v>=QS.EVALUATE.RESULTS(Loan_Context;Loan_C12_Trade;Loan_Request0;;Loan_C12_Pricer)</v>
      </c>
      <c r="B294" s="14"/>
      <c r="C294" s="14"/>
    </row>
    <row r="296" spans="1:3" ht="38.1" customHeight="1" x14ac:dyDescent="0.25">
      <c r="A296" s="2" t="s">
        <v>203</v>
      </c>
      <c r="B296" s="8" t="str" cm="1">
        <f t="array" ref="B296">_xll.QS.EVALUATE.RESULTS(Loan_Context,Loan_C12_Trade,Loan_Request1,Loan_C12_Pricer)</f>
        <v>QSObject:EvaluationResults:w1~evaluation.2696406873024.295.1:46</v>
      </c>
      <c r="C296" s="5" t="s">
        <v>200</v>
      </c>
    </row>
    <row r="297" spans="1:3" ht="33.950000000000003" customHeight="1" x14ac:dyDescent="0.25">
      <c r="A297" s="14" t="str">
        <f ca="1">SUBSTITUTE(_xlfn.FORMULATEXT(B296),",",", ")</f>
        <v>=QS.EVALUATE.RESULTS(Loan_Context;Loan_C12_Trade;Loan_Request1;;Loan_C12_Pricer)</v>
      </c>
      <c r="B297" s="14"/>
      <c r="C297" s="14"/>
    </row>
    <row r="299" spans="1:3" ht="38.1" customHeight="1" x14ac:dyDescent="0.25">
      <c r="A299" s="2" t="s">
        <v>204</v>
      </c>
      <c r="B299" s="8" t="str" cm="1">
        <f t="array" ref="B299">_xll.QS.EVALUATE.RESULTS(Loan_Context,Loan_C12_Trade,Loan_Request2,Loan_C12_Pricer)</f>
        <v>QSObject:EvaluationResults:w1~evaluation.2696406873024.298.1:50</v>
      </c>
      <c r="C299" s="5" t="s">
        <v>200</v>
      </c>
    </row>
    <row r="300" spans="1:3" ht="33.950000000000003" customHeight="1" x14ac:dyDescent="0.25">
      <c r="A300" s="14" t="str">
        <f ca="1">SUBSTITUTE(_xlfn.FORMULATEXT(B299),",",", ")</f>
        <v>=QS.EVALUATE.RESULTS(Loan_Context;Loan_C12_Trade;Loan_Request2;;Loan_C12_Pricer)</v>
      </c>
      <c r="B300" s="14"/>
      <c r="C300" s="14"/>
    </row>
    <row r="304" spans="1:3" ht="36" customHeight="1" x14ac:dyDescent="0.25">
      <c r="A304" s="3" t="s">
        <v>229</v>
      </c>
      <c r="B304" s="3" t="s">
        <v>230</v>
      </c>
      <c r="C304" s="3"/>
    </row>
    <row r="305" spans="1:3" ht="24" customHeight="1" x14ac:dyDescent="0.25">
      <c r="A305" s="1" t="s">
        <v>93</v>
      </c>
      <c r="B305" s="8" t="str">
        <f>Loan_C01_Result</f>
        <v>QSObject:EvaluationResults:w1~evaluation.2696406873024.45.1:60</v>
      </c>
    </row>
    <row r="306" spans="1:3" ht="24" customHeight="1" x14ac:dyDescent="0.25">
      <c r="A306" s="1" t="s">
        <v>99</v>
      </c>
      <c r="B306" s="8" t="str">
        <f>Loan_C02_Result</f>
        <v>QSObject:EvaluationResults:w1~evaluation.2696406873024.65.1:66</v>
      </c>
    </row>
    <row r="307" spans="1:3" ht="24" customHeight="1" x14ac:dyDescent="0.25">
      <c r="A307" s="1" t="s">
        <v>218</v>
      </c>
      <c r="B307" s="8" t="str">
        <f>Loan_C03_Result</f>
        <v>QSObject:EvaluationResults:w1~evaluation.2696406873024.88.1:65</v>
      </c>
    </row>
    <row r="308" spans="1:3" ht="24" customHeight="1" x14ac:dyDescent="0.25">
      <c r="A308" s="1" t="s">
        <v>219</v>
      </c>
      <c r="B308" s="8" t="str">
        <f>Loan_C04_Result</f>
        <v>QSObject:EvaluationResults:w1~evaluation.2696406873024.111.1:48</v>
      </c>
    </row>
    <row r="309" spans="1:3" ht="24" customHeight="1" x14ac:dyDescent="0.25">
      <c r="A309" s="1" t="s">
        <v>220</v>
      </c>
      <c r="B309" s="8" t="str">
        <f>Loan_C05_Result</f>
        <v>QSObject:EvaluationResults:w1~evaluation.2696406873024.131.1:51</v>
      </c>
    </row>
    <row r="310" spans="1:3" ht="24" customHeight="1" x14ac:dyDescent="0.25">
      <c r="A310" s="1" t="s">
        <v>221</v>
      </c>
      <c r="B310" s="8" t="str">
        <f>Loan_C06_Result</f>
        <v>QSObject:EvaluationResults:w1~evaluation.2696406873024.157.1:61</v>
      </c>
    </row>
    <row r="311" spans="1:3" ht="24" customHeight="1" x14ac:dyDescent="0.25">
      <c r="A311" s="1" t="s">
        <v>223</v>
      </c>
      <c r="B311" s="8" t="str">
        <f>Loan_C07_Result</f>
        <v>QSObject:EvaluationResults:w1~evaluation.2696406873024.177.1:63</v>
      </c>
    </row>
    <row r="312" spans="1:3" ht="24" customHeight="1" x14ac:dyDescent="0.25">
      <c r="A312" s="1" t="s">
        <v>224</v>
      </c>
      <c r="B312" s="8" t="str">
        <f>Loan_C08_Result</f>
        <v>QSObject:EvaluationResults:w1~evaluation.2696406873024.200.1:45</v>
      </c>
    </row>
    <row r="313" spans="1:3" ht="24" customHeight="1" x14ac:dyDescent="0.25">
      <c r="A313" s="1" t="s">
        <v>225</v>
      </c>
      <c r="B313" s="8" t="str">
        <f>Loan_C09_Result</f>
        <v>QSObject:EvaluationResults:w1~evaluation.2696406873024.220.1:49</v>
      </c>
    </row>
    <row r="314" spans="1:3" ht="24" customHeight="1" x14ac:dyDescent="0.25">
      <c r="A314" s="1" t="s">
        <v>226</v>
      </c>
      <c r="B314" s="8" t="str">
        <f>Loan_C10_Result</f>
        <v>QSObject:EvaluationResults:w1~evaluation.2696406873024.243.1:43</v>
      </c>
    </row>
    <row r="315" spans="1:3" ht="24" customHeight="1" x14ac:dyDescent="0.25">
      <c r="A315" s="1" t="s">
        <v>227</v>
      </c>
      <c r="B315" s="8" t="str">
        <f>Loan_C11_Result</f>
        <v>QSObject:EvaluationResults:w1~evaluation.2696406873024.263.1:68</v>
      </c>
    </row>
    <row r="316" spans="1:3" ht="24" customHeight="1" x14ac:dyDescent="0.25">
      <c r="A316" s="1" t="s">
        <v>228</v>
      </c>
      <c r="B316" s="8" t="str">
        <f>Loan_C12_Result</f>
        <v>QSObject:EvaluationResults:w1~evaluation.2696406873024.289.1:70</v>
      </c>
    </row>
    <row r="319" spans="1:3" ht="38.1" customHeight="1" x14ac:dyDescent="0.25">
      <c r="A319" s="2" t="s">
        <v>233</v>
      </c>
      <c r="B319" s="8" t="str">
        <f>INDEX(Loan_ResultHandles,MATCH(Loan_SelectedCase,Loan_CaseNames,0))</f>
        <v>QSObject:EvaluationResults:w1~evaluation.2696406873024.45.1:60</v>
      </c>
      <c r="C319" s="5" t="s">
        <v>234</v>
      </c>
    </row>
    <row r="320" spans="1:3" ht="33.950000000000003" customHeight="1" x14ac:dyDescent="0.25">
      <c r="A320" s="14" t="str">
        <f ca="1">SUBSTITUTE(_xlfn.FORMULATEXT(B319),",",", ")</f>
        <v>=INDICE(Loan_ResultHandles;COINCIDIR(Loan_SelectedCase;Loan_CaseNames;0))</v>
      </c>
      <c r="B320" s="14"/>
      <c r="C320" s="14"/>
    </row>
  </sheetData>
  <mergeCells count="94">
    <mergeCell ref="A1:C1"/>
    <mergeCell ref="A2:C3"/>
    <mergeCell ref="A8:C8"/>
    <mergeCell ref="A11:C11"/>
    <mergeCell ref="A14:C14"/>
    <mergeCell ref="A17:C17"/>
    <mergeCell ref="A20:C20"/>
    <mergeCell ref="A23:C23"/>
    <mergeCell ref="A26:C26"/>
    <mergeCell ref="A29:C29"/>
    <mergeCell ref="A32:C32"/>
    <mergeCell ref="A34:C34"/>
    <mergeCell ref="A38:C38"/>
    <mergeCell ref="A41:C41"/>
    <mergeCell ref="A44:C44"/>
    <mergeCell ref="A47:C47"/>
    <mergeCell ref="A50:C50"/>
    <mergeCell ref="A54:C54"/>
    <mergeCell ref="A58:C58"/>
    <mergeCell ref="A61:C61"/>
    <mergeCell ref="A64:C64"/>
    <mergeCell ref="A67:C67"/>
    <mergeCell ref="A70:C70"/>
    <mergeCell ref="A74:C74"/>
    <mergeCell ref="A78:C78"/>
    <mergeCell ref="A81:C81"/>
    <mergeCell ref="A84:C84"/>
    <mergeCell ref="A87:C87"/>
    <mergeCell ref="A90:C90"/>
    <mergeCell ref="A93:C93"/>
    <mergeCell ref="A97:C97"/>
    <mergeCell ref="A101:C101"/>
    <mergeCell ref="A104:C104"/>
    <mergeCell ref="A107:C107"/>
    <mergeCell ref="A110:C110"/>
    <mergeCell ref="A113:C113"/>
    <mergeCell ref="A116:C116"/>
    <mergeCell ref="A120:C120"/>
    <mergeCell ref="A124:C124"/>
    <mergeCell ref="A127:C127"/>
    <mergeCell ref="A130:C130"/>
    <mergeCell ref="A133:C133"/>
    <mergeCell ref="A136:C136"/>
    <mergeCell ref="A139:C139"/>
    <mergeCell ref="A143:C143"/>
    <mergeCell ref="A147:C147"/>
    <mergeCell ref="A150:C150"/>
    <mergeCell ref="A153:C153"/>
    <mergeCell ref="A156:C156"/>
    <mergeCell ref="A159:C159"/>
    <mergeCell ref="A163:C163"/>
    <mergeCell ref="A167:C167"/>
    <mergeCell ref="A170:C170"/>
    <mergeCell ref="A173:C173"/>
    <mergeCell ref="A176:C176"/>
    <mergeCell ref="A179:C179"/>
    <mergeCell ref="A182:C182"/>
    <mergeCell ref="A186:C186"/>
    <mergeCell ref="A190:C190"/>
    <mergeCell ref="A193:C193"/>
    <mergeCell ref="A196:C196"/>
    <mergeCell ref="A199:C199"/>
    <mergeCell ref="A202:C202"/>
    <mergeCell ref="A205:C205"/>
    <mergeCell ref="A209:C209"/>
    <mergeCell ref="A213:C213"/>
    <mergeCell ref="A216:C216"/>
    <mergeCell ref="A219:C219"/>
    <mergeCell ref="A222:C222"/>
    <mergeCell ref="A225:C225"/>
    <mergeCell ref="A229:C229"/>
    <mergeCell ref="A233:C233"/>
    <mergeCell ref="A236:C236"/>
    <mergeCell ref="A239:C239"/>
    <mergeCell ref="A242:C242"/>
    <mergeCell ref="A245:C245"/>
    <mergeCell ref="A248:C248"/>
    <mergeCell ref="A252:C252"/>
    <mergeCell ref="A256:C256"/>
    <mergeCell ref="A259:C259"/>
    <mergeCell ref="A262:C262"/>
    <mergeCell ref="A265:C265"/>
    <mergeCell ref="A268:C268"/>
    <mergeCell ref="A271:C271"/>
    <mergeCell ref="A274:C274"/>
    <mergeCell ref="A294:C294"/>
    <mergeCell ref="A297:C297"/>
    <mergeCell ref="A300:C300"/>
    <mergeCell ref="A320:C320"/>
    <mergeCell ref="A278:C278"/>
    <mergeCell ref="A282:C282"/>
    <mergeCell ref="A285:C285"/>
    <mergeCell ref="A288:C288"/>
    <mergeCell ref="A291:C291"/>
  </mergeCells>
  <hyperlinks>
    <hyperlink ref="A4" location="'Start Here'!A1" display="← Start Here" xr:uid="{00000000-0004-0000-0400-000000000000}"/>
    <hyperlink ref="C4" location="'5 Results'!A1" display="Next → 5 Results" xr:uid="{00000000-0004-0000-0400-000001000000}"/>
    <hyperlink ref="A35" location="'2 Cases'!A6" display="Edit these case inputs →" xr:uid="{00000000-0004-0000-0400-000002000000}"/>
    <hyperlink ref="A55" location="'2 Cases'!A16" display="Edit these case inputs →" xr:uid="{00000000-0004-0000-0400-000003000000}"/>
    <hyperlink ref="A75" location="'2 Cases'!A26" display="Edit these case inputs →" xr:uid="{00000000-0004-0000-0400-000004000000}"/>
    <hyperlink ref="A98" location="'2 Cases'!A36" display="Edit these case inputs →" xr:uid="{00000000-0004-0000-0400-000005000000}"/>
    <hyperlink ref="A121" location="'2 Cases'!A46" display="Edit these case inputs →" xr:uid="{00000000-0004-0000-0400-000006000000}"/>
    <hyperlink ref="A144" location="'2 Cases'!A60" display="Edit these case inputs →" xr:uid="{00000000-0004-0000-0400-000007000000}"/>
    <hyperlink ref="A164" location="'2 Cases'!A72" display="Edit these case inputs →" xr:uid="{00000000-0004-0000-0400-000008000000}"/>
    <hyperlink ref="A187" location="'2 Cases'!A82" display="Edit these case inputs →" xr:uid="{00000000-0004-0000-0400-000009000000}"/>
    <hyperlink ref="A210" location="'2 Cases'!A93" display="Edit these case inputs →" xr:uid="{00000000-0004-0000-0400-00000A000000}"/>
    <hyperlink ref="A230" location="'2 Cases'!A103" display="Edit these case inputs →" xr:uid="{00000000-0004-0000-0400-00000B000000}"/>
    <hyperlink ref="A253" location="'2 Cases'!A113" display="Edit these case inputs →" xr:uid="{00000000-0004-0000-0400-00000C000000}"/>
    <hyperlink ref="A279" location="'2 Cases'!A127" display="Edit these case inputs →" xr:uid="{00000000-0004-0000-0400-00000D000000}"/>
  </hyperlinks>
  <pageMargins left="0.3" right="0.3" top="0.4" bottom="0.4" header="0.3" footer="0.3"/>
  <pageSetup paperSize="9" fitToHeight="0" orientation="landscape"/>
  <headerFooter>
    <oddFooter>&amp;LQuantSupport&amp;CBuild and evaluate the loan agreements&amp;R&amp;P / &amp;N</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1845B"/>
    <pageSetUpPr fitToPage="1"/>
  </sheetPr>
  <dimension ref="A1:H28"/>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baseColWidth="10" defaultColWidth="9.140625" defaultRowHeight="24" customHeight="1" x14ac:dyDescent="0.25"/>
  <cols>
    <col min="1" max="1" width="29.7109375" style="1" customWidth="1"/>
    <col min="2" max="3" width="17.7109375" style="1" customWidth="1"/>
    <col min="4" max="6" width="15.7109375" style="1" customWidth="1"/>
    <col min="7" max="8" width="12.7109375" style="1" customWidth="1"/>
  </cols>
  <sheetData>
    <row r="1" spans="1:8" ht="38.1" customHeight="1" x14ac:dyDescent="0.25">
      <c r="A1" s="16" t="s">
        <v>205</v>
      </c>
      <c r="B1" s="16"/>
      <c r="C1" s="16"/>
      <c r="D1" s="16"/>
      <c r="E1" s="16"/>
      <c r="F1" s="16"/>
      <c r="G1" s="16"/>
      <c r="H1" s="16"/>
    </row>
    <row r="2" spans="1:8" ht="24" customHeight="1" x14ac:dyDescent="0.25">
      <c r="A2" s="17" t="s">
        <v>206</v>
      </c>
      <c r="B2" s="17"/>
      <c r="C2" s="17"/>
      <c r="D2" s="17"/>
      <c r="E2" s="17"/>
      <c r="F2" s="17"/>
      <c r="G2" s="17"/>
      <c r="H2" s="17"/>
    </row>
    <row r="3" spans="1:8" ht="24" customHeight="1" x14ac:dyDescent="0.25">
      <c r="A3" s="17"/>
      <c r="B3" s="17"/>
      <c r="C3" s="17"/>
      <c r="D3" s="17"/>
      <c r="E3" s="17"/>
      <c r="F3" s="17"/>
      <c r="G3" s="17"/>
      <c r="H3" s="17"/>
    </row>
    <row r="4" spans="1:8" ht="36" customHeight="1" x14ac:dyDescent="0.25">
      <c r="A4" s="4" t="s">
        <v>42</v>
      </c>
      <c r="H4" s="4" t="s">
        <v>207</v>
      </c>
    </row>
    <row r="6" spans="1:8" ht="36" customHeight="1" x14ac:dyDescent="0.25">
      <c r="A6" s="3" t="s">
        <v>208</v>
      </c>
      <c r="B6" s="3" t="s">
        <v>209</v>
      </c>
      <c r="C6" s="3" t="s">
        <v>210</v>
      </c>
      <c r="D6" s="3" t="s">
        <v>211</v>
      </c>
      <c r="E6" s="3" t="s">
        <v>212</v>
      </c>
      <c r="F6" s="3" t="s">
        <v>213</v>
      </c>
      <c r="G6" s="3" t="s">
        <v>214</v>
      </c>
      <c r="H6" s="3" t="s">
        <v>215</v>
      </c>
    </row>
    <row r="7" spans="1:8" ht="33.950000000000003" customHeight="1" x14ac:dyDescent="0.25">
      <c r="A7" s="1" t="s">
        <v>93</v>
      </c>
      <c r="B7" s="12" cm="1">
        <f t="array" ref="B7">_xll.QS.RESULT.VALUE(Loan_C01_Result)</f>
        <v>344572.54929166881</v>
      </c>
      <c r="C7" s="12">
        <f>Loan_C01_PV-Loan_Notional</f>
        <v>94572.549291668809</v>
      </c>
      <c r="D7" s="11" cm="1">
        <f t="array" ref="D7">_xll.QS.RESULT.FAIR.RATE(Loan_C01_Fair0)</f>
        <v>3.2839702374076296E-2</v>
      </c>
      <c r="E7" s="7"/>
      <c r="F7" s="7"/>
      <c r="G7" s="4" t="s">
        <v>216</v>
      </c>
      <c r="H7" s="4" t="s">
        <v>217</v>
      </c>
    </row>
    <row r="8" spans="1:8" ht="33.950000000000003" customHeight="1" x14ac:dyDescent="0.25">
      <c r="A8" s="1" t="s">
        <v>99</v>
      </c>
      <c r="B8" s="12" cm="1">
        <f t="array" ref="B8">_xll.QS.RESULT.VALUE(Loan_C02_Result)</f>
        <v>377678.57860024285</v>
      </c>
      <c r="C8" s="12">
        <f>Loan_C02_PV-Loan_Notional</f>
        <v>127678.57860024285</v>
      </c>
      <c r="D8" s="11" cm="1">
        <f t="array" ref="D8">_xll.QS.RESULT.FAIR.RATE(Loan_C02_Fair0)</f>
        <v>3.347918519730228E-2</v>
      </c>
      <c r="E8" s="7"/>
      <c r="F8" s="7"/>
      <c r="G8" s="4" t="s">
        <v>216</v>
      </c>
      <c r="H8" s="4" t="s">
        <v>217</v>
      </c>
    </row>
    <row r="9" spans="1:8" ht="33.950000000000003" customHeight="1" x14ac:dyDescent="0.25">
      <c r="A9" s="1" t="s">
        <v>218</v>
      </c>
      <c r="B9" s="12" cm="1">
        <f t="array" ref="B9">_xll.QS.RESULT.VALUE(Loan_C03_Result)</f>
        <v>352842.19344549195</v>
      </c>
      <c r="C9" s="12">
        <f>Loan_C03_PV-Loan_Notional</f>
        <v>102842.19344549195</v>
      </c>
      <c r="D9" s="11" cm="1">
        <f t="array" ref="D9">_xll.QS.RESULT.FAIR.RATE(Loan_C03_Fair0)</f>
        <v>3.3041427380885578E-2</v>
      </c>
      <c r="E9" s="7"/>
      <c r="F9" s="7"/>
      <c r="G9" s="4" t="s">
        <v>216</v>
      </c>
      <c r="H9" s="4" t="s">
        <v>217</v>
      </c>
    </row>
    <row r="10" spans="1:8" ht="33.950000000000003" customHeight="1" x14ac:dyDescent="0.25">
      <c r="A10" s="1" t="s">
        <v>219</v>
      </c>
      <c r="B10" s="12" cm="1">
        <f t="array" ref="B10">_xll.QS.RESULT.VALUE(Loan_C04_Result)</f>
        <v>312658.84558639227</v>
      </c>
      <c r="C10" s="12">
        <f>Loan_C04_PV-Loan_Notional</f>
        <v>62658.845586392272</v>
      </c>
      <c r="D10" s="11" cm="1">
        <f t="array" ref="D10">_xll.QS.RESULT.FAIR.RATE(Loan_C04_Fair0)</f>
        <v>-8.5188931680022593E-3</v>
      </c>
      <c r="E10" s="7"/>
      <c r="F10" s="7"/>
      <c r="G10" s="4" t="s">
        <v>216</v>
      </c>
      <c r="H10" s="4" t="s">
        <v>217</v>
      </c>
    </row>
    <row r="11" spans="1:8" ht="33.950000000000003" customHeight="1" x14ac:dyDescent="0.25">
      <c r="A11" s="1" t="s">
        <v>220</v>
      </c>
      <c r="B11" s="12" cm="1">
        <f t="array" ref="B11">_xll.QS.RESULT.VALUE(Loan_C05_Result)</f>
        <v>301947.25116889918</v>
      </c>
      <c r="C11" s="12">
        <f>Loan_C05_PV-Loan_Notional</f>
        <v>51947.25116889918</v>
      </c>
      <c r="D11" s="11" cm="1">
        <f t="array" ref="D11">_xll.QS.RESULT.FAIR.RATE(Loan_C05_Fair0)</f>
        <v>3.0038095349300419E-2</v>
      </c>
      <c r="E11" s="11" cm="1">
        <f t="array" ref="E11">_xll.QS.RESULT.FAIR.RATE(Loan_C05_Fair1)</f>
        <v>-8.9019752247622846E-3</v>
      </c>
      <c r="F11" s="7"/>
      <c r="G11" s="4" t="s">
        <v>216</v>
      </c>
      <c r="H11" s="4" t="s">
        <v>217</v>
      </c>
    </row>
    <row r="12" spans="1:8" ht="33.950000000000003" customHeight="1" x14ac:dyDescent="0.25">
      <c r="A12" s="1" t="s">
        <v>221</v>
      </c>
      <c r="B12" s="12" cm="1">
        <f t="array" ref="B12">_xll.QS.RESULT.VALUE(Loan_C06_Result)</f>
        <v>291284.30525344773</v>
      </c>
      <c r="C12" s="12">
        <f>Loan_C06_PV-Loan_Notional</f>
        <v>41284.305253447732</v>
      </c>
      <c r="D12" s="5" t="s">
        <v>222</v>
      </c>
      <c r="E12" s="7"/>
      <c r="F12" s="7"/>
      <c r="G12" s="4" t="s">
        <v>216</v>
      </c>
      <c r="H12" s="4" t="s">
        <v>217</v>
      </c>
    </row>
    <row r="13" spans="1:8" ht="33.950000000000003" customHeight="1" x14ac:dyDescent="0.25">
      <c r="A13" s="1" t="s">
        <v>223</v>
      </c>
      <c r="B13" s="12" cm="1">
        <f t="array" ref="B13">_xll.QS.RESULT.VALUE(Loan_C07_Result)</f>
        <v>284466.26155420911</v>
      </c>
      <c r="C13" s="12">
        <f>Loan_C07_PV-Loan_Notional</f>
        <v>34466.261554209108</v>
      </c>
      <c r="D13" s="11" cm="1">
        <f t="array" ref="D13">_xll.QS.RESULT.FAIR.RATE(Loan_C07_Fair0)</f>
        <v>3.1282753942286946E-2</v>
      </c>
      <c r="E13" s="7"/>
      <c r="F13" s="7"/>
      <c r="G13" s="4" t="s">
        <v>216</v>
      </c>
      <c r="H13" s="4" t="s">
        <v>217</v>
      </c>
    </row>
    <row r="14" spans="1:8" ht="33.950000000000003" customHeight="1" x14ac:dyDescent="0.25">
      <c r="A14" s="1" t="s">
        <v>224</v>
      </c>
      <c r="B14" s="12" cm="1">
        <f t="array" ref="B14">_xll.QS.RESULT.VALUE(Loan_C08_Result)</f>
        <v>287256.81807834579</v>
      </c>
      <c r="C14" s="12">
        <f>Loan_C08_PV-Loan_Notional</f>
        <v>37256.818078345794</v>
      </c>
      <c r="D14" s="11" cm="1">
        <f t="array" ref="D14">_xll.QS.RESULT.FAIR.RATE(Loan_C08_Fair0)</f>
        <v>4.693598852418291E-2</v>
      </c>
      <c r="E14" s="7"/>
      <c r="F14" s="7"/>
      <c r="G14" s="4" t="s">
        <v>216</v>
      </c>
      <c r="H14" s="4" t="s">
        <v>217</v>
      </c>
    </row>
    <row r="15" spans="1:8" ht="33.950000000000003" customHeight="1" x14ac:dyDescent="0.25">
      <c r="A15" s="1" t="s">
        <v>225</v>
      </c>
      <c r="B15" s="12" cm="1">
        <f t="array" ref="B15">_xll.QS.RESULT.VALUE(Loan_C09_Result)</f>
        <v>272291.06132378179</v>
      </c>
      <c r="C15" s="12">
        <f>Loan_C09_PV-Loan_Notional</f>
        <v>22291.061323781789</v>
      </c>
      <c r="D15" s="11" cm="1">
        <f t="array" ref="D15">_xll.QS.RESULT.FAIR.RATE(Loan_C09_Fair0)</f>
        <v>5.2354702939555853E-2</v>
      </c>
      <c r="E15" s="7"/>
      <c r="F15" s="7"/>
      <c r="G15" s="4" t="s">
        <v>216</v>
      </c>
      <c r="H15" s="4" t="s">
        <v>217</v>
      </c>
    </row>
    <row r="16" spans="1:8" ht="33.950000000000003" customHeight="1" x14ac:dyDescent="0.25">
      <c r="A16" s="1" t="s">
        <v>226</v>
      </c>
      <c r="B16" s="12" cm="1">
        <f t="array" ref="B16">_xll.QS.RESULT.VALUE(Loan_C10_Result)</f>
        <v>246609.57899015205</v>
      </c>
      <c r="C16" s="12">
        <f>Loan_C10_PV-Loan_Notional</f>
        <v>-3390.4210098479525</v>
      </c>
      <c r="D16" s="11" cm="1">
        <f t="array" ref="D16">_xll.QS.RESULT.FAIR.RATE(Loan_C10_Fair0)</f>
        <v>1.119278041333018E-2</v>
      </c>
      <c r="E16" s="7"/>
      <c r="F16" s="7"/>
      <c r="G16" s="4" t="s">
        <v>216</v>
      </c>
      <c r="H16" s="4" t="s">
        <v>217</v>
      </c>
    </row>
    <row r="17" spans="1:8" ht="33.950000000000003" customHeight="1" x14ac:dyDescent="0.25">
      <c r="A17" s="1" t="s">
        <v>227</v>
      </c>
      <c r="B17" s="12" cm="1">
        <f t="array" ref="B17">_xll.QS.RESULT.VALUE(Loan_C11_Result)</f>
        <v>274240.41039007955</v>
      </c>
      <c r="C17" s="12">
        <f>Loan_C11_PV-Loan_Notional</f>
        <v>24240.410390079545</v>
      </c>
      <c r="D17" s="11" cm="1">
        <f t="array" ref="D17">_xll.QS.RESULT.FAIR.RATE(Loan_C11_Fair0)</f>
        <v>3.0038094917108536E-2</v>
      </c>
      <c r="E17" s="11" cm="1">
        <f t="array" ref="E17">_xll.QS.RESULT.FAIR.RATE(Loan_C11_Fair1)</f>
        <v>3.3939952931541471E-2</v>
      </c>
      <c r="F17" s="11" cm="1">
        <f t="array" ref="F17">_xll.QS.RESULT.FAIR.RATE(Loan_C11_Fair2)</f>
        <v>3.4295309476874536E-2</v>
      </c>
      <c r="G17" s="4" t="s">
        <v>216</v>
      </c>
      <c r="H17" s="4" t="s">
        <v>217</v>
      </c>
    </row>
    <row r="18" spans="1:8" ht="33.950000000000003" customHeight="1" x14ac:dyDescent="0.25">
      <c r="A18" s="1" t="s">
        <v>228</v>
      </c>
      <c r="B18" s="12" cm="1">
        <f t="array" ref="B18">_xll.QS.RESULT.VALUE(Loan_C12_Result)</f>
        <v>277402.95841219206</v>
      </c>
      <c r="C18" s="12">
        <f>Loan_C12_PV-Loan_Notional</f>
        <v>27402.958412192063</v>
      </c>
      <c r="D18" s="11" cm="1">
        <f t="array" ref="D18">_xll.QS.RESULT.FAIR.RATE(Loan_C12_Fair0)</f>
        <v>3.0038094917108536E-2</v>
      </c>
      <c r="E18" s="11" cm="1">
        <f t="array" ref="E18">_xll.QS.RESULT.FAIR.RATE(Loan_C12_Fair1)</f>
        <v>3.3939952931541471E-2</v>
      </c>
      <c r="F18" s="11" cm="1">
        <f t="array" ref="F18">_xll.QS.RESULT.FAIR.RATE(Loan_C12_Fair2)</f>
        <v>-8.2847467889223536E-3</v>
      </c>
      <c r="G18" s="4" t="s">
        <v>216</v>
      </c>
      <c r="H18" s="4" t="s">
        <v>217</v>
      </c>
    </row>
    <row r="22" spans="1:8" ht="24" customHeight="1" x14ac:dyDescent="0.25">
      <c r="A22" s="2" t="s">
        <v>231</v>
      </c>
      <c r="B22" s="6" t="s">
        <v>93</v>
      </c>
      <c r="C22" s="19" t="s">
        <v>232</v>
      </c>
      <c r="D22" s="19"/>
      <c r="E22" s="19"/>
      <c r="F22" s="19"/>
    </row>
    <row r="23" spans="1:8" ht="24" customHeight="1" x14ac:dyDescent="0.25">
      <c r="C23" s="19"/>
      <c r="D23" s="19"/>
      <c r="E23" s="19"/>
      <c r="F23" s="19"/>
    </row>
    <row r="26" spans="1:8" ht="24" customHeight="1" x14ac:dyDescent="0.25">
      <c r="A26" s="19" t="s">
        <v>235</v>
      </c>
      <c r="B26" s="19"/>
      <c r="C26" s="19"/>
      <c r="D26" s="19"/>
      <c r="E26" s="19"/>
      <c r="F26" s="19"/>
      <c r="G26" s="19"/>
      <c r="H26" s="19"/>
    </row>
    <row r="27" spans="1:8" ht="24" customHeight="1" x14ac:dyDescent="0.25">
      <c r="A27" s="19"/>
      <c r="B27" s="19"/>
      <c r="C27" s="19"/>
      <c r="D27" s="19"/>
      <c r="E27" s="19"/>
      <c r="F27" s="19"/>
      <c r="G27" s="19"/>
      <c r="H27" s="19"/>
    </row>
    <row r="28" spans="1:8" ht="24" customHeight="1" x14ac:dyDescent="0.25">
      <c r="A28" s="19"/>
      <c r="B28" s="19"/>
      <c r="C28" s="19"/>
      <c r="D28" s="19"/>
      <c r="E28" s="19"/>
      <c r="F28" s="19"/>
      <c r="G28" s="19"/>
      <c r="H28" s="19"/>
    </row>
  </sheetData>
  <mergeCells count="4">
    <mergeCell ref="A1:H1"/>
    <mergeCell ref="A2:H3"/>
    <mergeCell ref="C22:F23"/>
    <mergeCell ref="A26:H28"/>
  </mergeCells>
  <dataValidations count="1">
    <dataValidation type="list" allowBlank="1" showInputMessage="1" showErrorMessage="1" sqref="B22" xr:uid="{00000000-0002-0000-0500-000000000000}">
      <formula1>Loan_CaseNames</formula1>
    </dataValidation>
  </dataValidations>
  <hyperlinks>
    <hyperlink ref="A4" location="'Start Here'!A1" display="← Start Here" xr:uid="{00000000-0004-0000-0500-000000000000}"/>
    <hyperlink ref="H4" location="'6 Cashflows'!A1" display="Next → 6 Cashflows" xr:uid="{00000000-0004-0000-0500-000001000000}"/>
    <hyperlink ref="G7" location="'2 Cases'!A6" display="Edit →" xr:uid="{00000000-0004-0000-0500-000002000000}"/>
    <hyperlink ref="H7" location="'4 Build'!A34" display="Build →" xr:uid="{00000000-0004-0000-0500-000003000000}"/>
    <hyperlink ref="G8" location="'2 Cases'!A16" display="Edit →" xr:uid="{00000000-0004-0000-0500-000004000000}"/>
    <hyperlink ref="H8" location="'4 Build'!A54" display="Build →" xr:uid="{00000000-0004-0000-0500-000005000000}"/>
    <hyperlink ref="G9" location="'2 Cases'!A26" display="Edit →" xr:uid="{00000000-0004-0000-0500-000006000000}"/>
    <hyperlink ref="H9" location="'4 Build'!A74" display="Build →" xr:uid="{00000000-0004-0000-0500-000007000000}"/>
    <hyperlink ref="G10" location="'2 Cases'!A36" display="Edit →" xr:uid="{00000000-0004-0000-0500-000008000000}"/>
    <hyperlink ref="H10" location="'4 Build'!A97" display="Build →" xr:uid="{00000000-0004-0000-0500-000009000000}"/>
    <hyperlink ref="G11" location="'2 Cases'!A46" display="Edit →" xr:uid="{00000000-0004-0000-0500-00000A000000}"/>
    <hyperlink ref="H11" location="'4 Build'!A120" display="Build →" xr:uid="{00000000-0004-0000-0500-00000B000000}"/>
    <hyperlink ref="G12" location="'2 Cases'!A60" display="Edit →" xr:uid="{00000000-0004-0000-0500-00000C000000}"/>
    <hyperlink ref="H12" location="'4 Build'!A143" display="Build →" xr:uid="{00000000-0004-0000-0500-00000D000000}"/>
    <hyperlink ref="G13" location="'2 Cases'!A72" display="Edit →" xr:uid="{00000000-0004-0000-0500-00000E000000}"/>
    <hyperlink ref="H13" location="'4 Build'!A163" display="Build →" xr:uid="{00000000-0004-0000-0500-00000F000000}"/>
    <hyperlink ref="G14" location="'2 Cases'!A82" display="Edit →" xr:uid="{00000000-0004-0000-0500-000010000000}"/>
    <hyperlink ref="H14" location="'4 Build'!A186" display="Build →" xr:uid="{00000000-0004-0000-0500-000011000000}"/>
    <hyperlink ref="G15" location="'2 Cases'!A93" display="Edit →" xr:uid="{00000000-0004-0000-0500-000012000000}"/>
    <hyperlink ref="H15" location="'4 Build'!A209" display="Build →" xr:uid="{00000000-0004-0000-0500-000013000000}"/>
    <hyperlink ref="G16" location="'2 Cases'!A103" display="Edit →" xr:uid="{00000000-0004-0000-0500-000014000000}"/>
    <hyperlink ref="H16" location="'4 Build'!A229" display="Build →" xr:uid="{00000000-0004-0000-0500-000015000000}"/>
    <hyperlink ref="G17" location="'2 Cases'!A113" display="Edit →" xr:uid="{00000000-0004-0000-0500-000016000000}"/>
    <hyperlink ref="H17" location="'4 Build'!A252" display="Build →" xr:uid="{00000000-0004-0000-0500-000017000000}"/>
    <hyperlink ref="G18" location="'2 Cases'!A127" display="Edit →" xr:uid="{00000000-0004-0000-0500-000018000000}"/>
    <hyperlink ref="H18" location="'4 Build'!A278" display="Build →" xr:uid="{00000000-0004-0000-0500-000019000000}"/>
  </hyperlinks>
  <pageMargins left="0.3" right="0.3" top="0.4" bottom="0.4" header="0.3" footer="0.3"/>
  <pageSetup paperSize="9" fitToHeight="0" orientation="landscape"/>
  <headerFooter>
    <oddFooter>&amp;LQuantSupport&amp;CCompare the loan results&amp;R&amp;P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8909C"/>
    <pageSetUpPr fitToPage="1"/>
  </sheetPr>
  <dimension ref="A1:I727"/>
  <sheetViews>
    <sheetView showGridLines="0" zoomScale="85" zoomScaleNormal="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24" customHeight="1" x14ac:dyDescent="0.25"/>
  <cols>
    <col min="1" max="1" width="16.7109375" style="1" customWidth="1"/>
    <col min="2" max="2" width="28.7109375" style="1" customWidth="1"/>
    <col min="3" max="3" width="18.7109375" style="12" customWidth="1"/>
    <col min="4" max="4" width="12.7109375" style="11" customWidth="1"/>
    <col min="5" max="5" width="12.7109375" style="13" customWidth="1"/>
    <col min="6" max="6" width="12.7109375" style="1" customWidth="1"/>
    <col min="7" max="8" width="12.7109375" style="11" customWidth="1"/>
    <col min="9" max="9" width="8.7109375" style="1" customWidth="1"/>
  </cols>
  <sheetData>
    <row r="1" spans="1:9" ht="38.1" customHeight="1" x14ac:dyDescent="0.25">
      <c r="A1" s="16" t="s">
        <v>236</v>
      </c>
      <c r="B1" s="16"/>
      <c r="C1" s="16"/>
      <c r="D1" s="16"/>
      <c r="E1" s="16"/>
      <c r="F1" s="16"/>
      <c r="G1" s="16"/>
      <c r="H1" s="16"/>
      <c r="I1" s="16"/>
    </row>
    <row r="2" spans="1:9" ht="24" customHeight="1" x14ac:dyDescent="0.25">
      <c r="A2" s="17" t="s">
        <v>237</v>
      </c>
      <c r="B2" s="17"/>
      <c r="C2" s="17"/>
      <c r="D2" s="17"/>
      <c r="E2" s="17"/>
      <c r="F2" s="17"/>
      <c r="G2" s="17"/>
      <c r="H2" s="17"/>
      <c r="I2" s="17"/>
    </row>
    <row r="3" spans="1:9" ht="24" customHeight="1" x14ac:dyDescent="0.25">
      <c r="A3" s="17"/>
      <c r="B3" s="17"/>
      <c r="C3" s="17"/>
      <c r="D3" s="17"/>
      <c r="E3" s="17"/>
      <c r="F3" s="17"/>
      <c r="G3" s="17"/>
      <c r="H3" s="17"/>
      <c r="I3" s="17"/>
    </row>
    <row r="4" spans="1:9" ht="36" customHeight="1" x14ac:dyDescent="0.25">
      <c r="A4" s="4" t="s">
        <v>42</v>
      </c>
      <c r="I4" s="4" t="s">
        <v>238</v>
      </c>
    </row>
    <row r="6" spans="1:9" ht="24" customHeight="1" x14ac:dyDescent="0.25">
      <c r="A6" s="1" t="s">
        <v>239</v>
      </c>
      <c r="B6" s="7" t="str">
        <f>Loan_SelectedCase</f>
        <v>French</v>
      </c>
      <c r="C6" s="4" t="s">
        <v>240</v>
      </c>
    </row>
    <row r="7" spans="1:9" ht="24" customHeight="1" x14ac:dyDescent="0.25">
      <c r="A7" s="1" t="str" cm="1">
        <f t="array" ref="A7:I727">_xll.QS.RESULT.CASHFLOWS(Loan_SelectedResult)</f>
        <v>Payment date</v>
      </c>
      <c r="B7" s="1" t="str">
        <v>Type</v>
      </c>
      <c r="C7" s="12" t="str">
        <v>Amount</v>
      </c>
      <c r="D7" s="11" t="str">
        <v>Fixing</v>
      </c>
      <c r="E7" s="13" t="str">
        <v>Accrual</v>
      </c>
      <c r="F7" s="1" t="str">
        <v>Currency</v>
      </c>
      <c r="G7" s="11" t="str">
        <v>Floor</v>
      </c>
      <c r="H7" s="11" t="str">
        <v>Cap</v>
      </c>
      <c r="I7" s="1" t="str">
        <v>Leg</v>
      </c>
    </row>
    <row r="8" spans="1:9" ht="24" customHeight="1" x14ac:dyDescent="0.25">
      <c r="A8" s="1" t="str">
        <v>2026-03-24</v>
      </c>
      <c r="B8" s="1" t="str">
        <v>FixedRateCoupon</v>
      </c>
      <c r="C8" s="12">
        <v>1166.6666666666667</v>
      </c>
      <c r="D8" s="11">
        <v>0</v>
      </c>
      <c r="E8" s="13">
        <v>7.7777777777777779E-2</v>
      </c>
      <c r="F8" s="1" t="str">
        <v>EUR</v>
      </c>
      <c r="G8" s="11">
        <v>0</v>
      </c>
      <c r="H8" s="11">
        <v>0</v>
      </c>
      <c r="I8" s="1">
        <v>0</v>
      </c>
    </row>
    <row r="9" spans="1:9" ht="24" customHeight="1" x14ac:dyDescent="0.25">
      <c r="A9" s="1" t="str">
        <v>2026-03-24</v>
      </c>
      <c r="B9" s="1" t="str">
        <v>Redemption</v>
      </c>
      <c r="C9" s="12">
        <v>345.94617687867139</v>
      </c>
      <c r="D9" s="11">
        <v>0</v>
      </c>
      <c r="E9" s="13">
        <v>0</v>
      </c>
      <c r="F9" s="1" t="str">
        <v>EUR</v>
      </c>
      <c r="G9" s="11">
        <v>0</v>
      </c>
      <c r="H9" s="11">
        <v>0</v>
      </c>
      <c r="I9" s="1">
        <v>0</v>
      </c>
    </row>
    <row r="10" spans="1:9" ht="24" customHeight="1" x14ac:dyDescent="0.25">
      <c r="A10" s="1" t="str">
        <v>2026-04-24</v>
      </c>
      <c r="B10" s="1" t="str">
        <v>FixedRateCoupon</v>
      </c>
      <c r="C10" s="12">
        <v>1289.879278086127</v>
      </c>
      <c r="D10" s="11">
        <v>0</v>
      </c>
      <c r="E10" s="13">
        <v>8.611111111111111E-2</v>
      </c>
      <c r="F10" s="1" t="str">
        <v>EUR</v>
      </c>
      <c r="G10" s="11">
        <v>0</v>
      </c>
      <c r="H10" s="11">
        <v>0</v>
      </c>
      <c r="I10" s="1">
        <v>0</v>
      </c>
    </row>
    <row r="11" spans="1:9" ht="24" customHeight="1" x14ac:dyDescent="0.25">
      <c r="A11" s="1" t="str">
        <v>2026-04-24</v>
      </c>
      <c r="B11" s="1" t="str">
        <v>Redemption</v>
      </c>
      <c r="C11" s="12">
        <v>222.7335654591443</v>
      </c>
      <c r="D11" s="11">
        <v>0</v>
      </c>
      <c r="E11" s="13">
        <v>0</v>
      </c>
      <c r="F11" s="1" t="str">
        <v>EUR</v>
      </c>
      <c r="G11" s="11">
        <v>0</v>
      </c>
      <c r="H11" s="11">
        <v>0</v>
      </c>
      <c r="I11" s="1">
        <v>0</v>
      </c>
    </row>
    <row r="12" spans="1:9" ht="24" customHeight="1" x14ac:dyDescent="0.25">
      <c r="A12" s="1" t="str">
        <v>2026-05-24</v>
      </c>
      <c r="B12" s="1" t="str">
        <v>FixedRateCoupon</v>
      </c>
      <c r="C12" s="12">
        <v>1247.1566012883109</v>
      </c>
      <c r="D12" s="11">
        <v>0</v>
      </c>
      <c r="E12" s="13">
        <v>8.3333333333333329E-2</v>
      </c>
      <c r="F12" s="1" t="str">
        <v>EUR</v>
      </c>
      <c r="G12" s="11">
        <v>0</v>
      </c>
      <c r="H12" s="11">
        <v>0</v>
      </c>
      <c r="I12" s="1">
        <v>0</v>
      </c>
    </row>
    <row r="13" spans="1:9" ht="24" customHeight="1" x14ac:dyDescent="0.25">
      <c r="A13" s="1" t="str">
        <v>2026-05-24</v>
      </c>
      <c r="B13" s="1" t="str">
        <v>Redemption</v>
      </c>
      <c r="C13" s="12">
        <v>265.45624225703068</v>
      </c>
      <c r="D13" s="11">
        <v>0</v>
      </c>
      <c r="E13" s="13">
        <v>0</v>
      </c>
      <c r="F13" s="1" t="str">
        <v>EUR</v>
      </c>
      <c r="G13" s="11">
        <v>0</v>
      </c>
      <c r="H13" s="11">
        <v>0</v>
      </c>
      <c r="I13" s="1">
        <v>0</v>
      </c>
    </row>
    <row r="14" spans="1:9" ht="24" customHeight="1" x14ac:dyDescent="0.25">
      <c r="A14" s="1" t="str">
        <v>2026-06-24</v>
      </c>
      <c r="B14" s="1" t="str">
        <v>FixedRateCoupon</v>
      </c>
      <c r="C14" s="12">
        <v>1287.3569640795931</v>
      </c>
      <c r="D14" s="11">
        <v>0</v>
      </c>
      <c r="E14" s="13">
        <v>8.611111111111111E-2</v>
      </c>
      <c r="F14" s="1" t="str">
        <v>EUR</v>
      </c>
      <c r="G14" s="11">
        <v>0</v>
      </c>
      <c r="H14" s="11">
        <v>0</v>
      </c>
      <c r="I14" s="1">
        <v>0</v>
      </c>
    </row>
    <row r="15" spans="1:9" ht="24" customHeight="1" x14ac:dyDescent="0.25">
      <c r="A15" s="1" t="str">
        <v>2026-06-24</v>
      </c>
      <c r="B15" s="1" t="str">
        <v>Redemption</v>
      </c>
      <c r="C15" s="12">
        <v>225.25587946569431</v>
      </c>
      <c r="D15" s="11">
        <v>0</v>
      </c>
      <c r="E15" s="13">
        <v>0</v>
      </c>
      <c r="F15" s="1" t="str">
        <v>EUR</v>
      </c>
      <c r="G15" s="11">
        <v>0</v>
      </c>
      <c r="H15" s="11">
        <v>0</v>
      </c>
      <c r="I15" s="1">
        <v>0</v>
      </c>
    </row>
    <row r="16" spans="1:9" ht="24" customHeight="1" x14ac:dyDescent="0.25">
      <c r="A16" s="1" t="str">
        <v>2026-07-24</v>
      </c>
      <c r="B16" s="1" t="str">
        <v>FixedRateCoupon</v>
      </c>
      <c r="C16" s="12">
        <v>1244.7030406796971</v>
      </c>
      <c r="D16" s="11">
        <v>0</v>
      </c>
      <c r="E16" s="13">
        <v>8.3333333333333329E-2</v>
      </c>
      <c r="F16" s="1" t="str">
        <v>EUR</v>
      </c>
      <c r="G16" s="11">
        <v>0</v>
      </c>
      <c r="H16" s="11">
        <v>0</v>
      </c>
      <c r="I16" s="1">
        <v>0</v>
      </c>
    </row>
    <row r="17" spans="1:9" ht="24" customHeight="1" x14ac:dyDescent="0.25">
      <c r="A17" s="1" t="str">
        <v>2026-07-24</v>
      </c>
      <c r="B17" s="1" t="str">
        <v>Redemption</v>
      </c>
      <c r="C17" s="12">
        <v>267.90980286564445</v>
      </c>
      <c r="D17" s="11">
        <v>0</v>
      </c>
      <c r="E17" s="13">
        <v>0</v>
      </c>
      <c r="F17" s="1" t="str">
        <v>EUR</v>
      </c>
      <c r="G17" s="11">
        <v>0</v>
      </c>
      <c r="H17" s="11">
        <v>0</v>
      </c>
      <c r="I17" s="1">
        <v>0</v>
      </c>
    </row>
    <row r="18" spans="1:9" ht="24" customHeight="1" x14ac:dyDescent="0.25">
      <c r="A18" s="1" t="str">
        <v>2026-08-24</v>
      </c>
      <c r="B18" s="1" t="str">
        <v>FixedRateCoupon</v>
      </c>
      <c r="C18" s="12">
        <v>1284.808941387548</v>
      </c>
      <c r="D18" s="11">
        <v>0</v>
      </c>
      <c r="E18" s="13">
        <v>8.611111111111111E-2</v>
      </c>
      <c r="F18" s="1" t="str">
        <v>EUR</v>
      </c>
      <c r="G18" s="11">
        <v>0</v>
      </c>
      <c r="H18" s="11">
        <v>0</v>
      </c>
      <c r="I18" s="1">
        <v>0</v>
      </c>
    </row>
    <row r="19" spans="1:9" ht="24" customHeight="1" x14ac:dyDescent="0.25">
      <c r="A19" s="1" t="str">
        <v>2026-08-24</v>
      </c>
      <c r="B19" s="1" t="str">
        <v>Redemption</v>
      </c>
      <c r="C19" s="12">
        <v>227.80390215772786</v>
      </c>
      <c r="D19" s="11">
        <v>0</v>
      </c>
      <c r="E19" s="13">
        <v>0</v>
      </c>
      <c r="F19" s="1" t="str">
        <v>EUR</v>
      </c>
      <c r="G19" s="11">
        <v>0</v>
      </c>
      <c r="H19" s="11">
        <v>0</v>
      </c>
      <c r="I19" s="1">
        <v>0</v>
      </c>
    </row>
    <row r="20" spans="1:9" ht="24" customHeight="1" x14ac:dyDescent="0.25">
      <c r="A20" s="1" t="str">
        <v>2026-09-24</v>
      </c>
      <c r="B20" s="1" t="str">
        <v>FixedRateCoupon</v>
      </c>
      <c r="C20" s="12">
        <v>1283.631954559733</v>
      </c>
      <c r="D20" s="11">
        <v>0</v>
      </c>
      <c r="E20" s="13">
        <v>8.611111111111111E-2</v>
      </c>
      <c r="F20" s="1" t="str">
        <v>EUR</v>
      </c>
      <c r="G20" s="11">
        <v>0</v>
      </c>
      <c r="H20" s="11">
        <v>0</v>
      </c>
      <c r="I20" s="1">
        <v>0</v>
      </c>
    </row>
    <row r="21" spans="1:9" ht="24" customHeight="1" x14ac:dyDescent="0.25">
      <c r="A21" s="1" t="str">
        <v>2026-09-24</v>
      </c>
      <c r="B21" s="1" t="str">
        <v>Redemption</v>
      </c>
      <c r="C21" s="12">
        <v>228.98088898556307</v>
      </c>
      <c r="D21" s="11">
        <v>0</v>
      </c>
      <c r="E21" s="13">
        <v>0</v>
      </c>
      <c r="F21" s="1" t="str">
        <v>EUR</v>
      </c>
      <c r="G21" s="11">
        <v>0</v>
      </c>
      <c r="H21" s="11">
        <v>0</v>
      </c>
      <c r="I21" s="1">
        <v>0</v>
      </c>
    </row>
    <row r="22" spans="1:9" ht="24" customHeight="1" x14ac:dyDescent="0.25">
      <c r="A22" s="1" t="str">
        <v>2026-10-24</v>
      </c>
      <c r="B22" s="1" t="str">
        <v>FixedRateCoupon</v>
      </c>
      <c r="C22" s="12">
        <v>1241.0795677096523</v>
      </c>
      <c r="D22" s="11">
        <v>0</v>
      </c>
      <c r="E22" s="13">
        <v>8.3333333333333329E-2</v>
      </c>
      <c r="F22" s="1" t="str">
        <v>EUR</v>
      </c>
      <c r="G22" s="11">
        <v>0</v>
      </c>
      <c r="H22" s="11">
        <v>0</v>
      </c>
      <c r="I22" s="1">
        <v>0</v>
      </c>
    </row>
    <row r="23" spans="1:9" ht="24" customHeight="1" x14ac:dyDescent="0.25">
      <c r="A23" s="1" t="str">
        <v>2026-10-24</v>
      </c>
      <c r="B23" s="1" t="str">
        <v>Redemption</v>
      </c>
      <c r="C23" s="12">
        <v>271.53327583568171</v>
      </c>
      <c r="D23" s="11">
        <v>0</v>
      </c>
      <c r="E23" s="13">
        <v>0</v>
      </c>
      <c r="F23" s="1" t="str">
        <v>EUR</v>
      </c>
      <c r="G23" s="11">
        <v>0</v>
      </c>
      <c r="H23" s="11">
        <v>0</v>
      </c>
      <c r="I23" s="1">
        <v>0</v>
      </c>
    </row>
    <row r="24" spans="1:9" ht="24" customHeight="1" x14ac:dyDescent="0.25">
      <c r="A24" s="1" t="str">
        <v>2026-11-24</v>
      </c>
      <c r="B24" s="1" t="str">
        <v>FixedRateCoupon</v>
      </c>
      <c r="C24" s="12">
        <v>1281.0459647081566</v>
      </c>
      <c r="D24" s="11">
        <v>0</v>
      </c>
      <c r="E24" s="13">
        <v>8.611111111111111E-2</v>
      </c>
      <c r="F24" s="1" t="str">
        <v>EUR</v>
      </c>
      <c r="G24" s="11">
        <v>0</v>
      </c>
      <c r="H24" s="11">
        <v>0</v>
      </c>
      <c r="I24" s="1">
        <v>0</v>
      </c>
    </row>
    <row r="25" spans="1:9" ht="24" customHeight="1" x14ac:dyDescent="0.25">
      <c r="A25" s="1" t="str">
        <v>2026-11-24</v>
      </c>
      <c r="B25" s="1" t="str">
        <v>Redemption</v>
      </c>
      <c r="C25" s="12">
        <v>231.56687883712584</v>
      </c>
      <c r="D25" s="11">
        <v>0</v>
      </c>
      <c r="E25" s="13">
        <v>0</v>
      </c>
      <c r="F25" s="1" t="str">
        <v>EUR</v>
      </c>
      <c r="G25" s="11">
        <v>0</v>
      </c>
      <c r="H25" s="11">
        <v>0</v>
      </c>
      <c r="I25" s="1">
        <v>0</v>
      </c>
    </row>
    <row r="26" spans="1:9" ht="24" customHeight="1" x14ac:dyDescent="0.25">
      <c r="A26" s="1" t="str">
        <v>2026-12-24</v>
      </c>
      <c r="B26" s="1" t="str">
        <v>FixedRateCoupon</v>
      </c>
      <c r="C26" s="12">
        <v>1238.5640669362886</v>
      </c>
      <c r="D26" s="11">
        <v>0</v>
      </c>
      <c r="E26" s="13">
        <v>8.3333333333333329E-2</v>
      </c>
      <c r="F26" s="1" t="str">
        <v>EUR</v>
      </c>
      <c r="G26" s="11">
        <v>0</v>
      </c>
      <c r="H26" s="11">
        <v>0</v>
      </c>
      <c r="I26" s="1">
        <v>0</v>
      </c>
    </row>
    <row r="27" spans="1:9" ht="24" customHeight="1" x14ac:dyDescent="0.25">
      <c r="A27" s="1" t="str">
        <v>2026-12-24</v>
      </c>
      <c r="B27" s="1" t="str">
        <v>Redemption</v>
      </c>
      <c r="C27" s="12">
        <v>274.0487766090373</v>
      </c>
      <c r="D27" s="11">
        <v>0</v>
      </c>
      <c r="E27" s="13">
        <v>0</v>
      </c>
      <c r="F27" s="1" t="str">
        <v>EUR</v>
      </c>
      <c r="G27" s="11">
        <v>0</v>
      </c>
      <c r="H27" s="11">
        <v>0</v>
      </c>
      <c r="I27" s="1">
        <v>0</v>
      </c>
    </row>
    <row r="28" spans="1:9" ht="24" customHeight="1" x14ac:dyDescent="0.25">
      <c r="A28" s="1" t="str">
        <v>2027-01-24</v>
      </c>
      <c r="B28" s="1" t="str">
        <v>FixedRateCoupon</v>
      </c>
      <c r="C28" s="12">
        <v>1278.4336171550181</v>
      </c>
      <c r="D28" s="11">
        <v>0</v>
      </c>
      <c r="E28" s="13">
        <v>8.611111111111111E-2</v>
      </c>
      <c r="F28" s="1" t="str">
        <v>EUR</v>
      </c>
      <c r="G28" s="11">
        <v>0</v>
      </c>
      <c r="H28" s="11">
        <v>0</v>
      </c>
      <c r="I28" s="1">
        <v>0</v>
      </c>
    </row>
    <row r="29" spans="1:9" ht="24" customHeight="1" x14ac:dyDescent="0.25">
      <c r="A29" s="1" t="str">
        <v>2027-01-24</v>
      </c>
      <c r="B29" s="1" t="str">
        <v>Redemption</v>
      </c>
      <c r="C29" s="12">
        <v>234.17922639026074</v>
      </c>
      <c r="D29" s="11">
        <v>0</v>
      </c>
      <c r="E29" s="13">
        <v>0</v>
      </c>
      <c r="F29" s="1" t="str">
        <v>EUR</v>
      </c>
      <c r="G29" s="11">
        <v>0</v>
      </c>
      <c r="H29" s="11">
        <v>0</v>
      </c>
      <c r="I29" s="1">
        <v>0</v>
      </c>
    </row>
    <row r="30" spans="1:9" ht="24" customHeight="1" x14ac:dyDescent="0.25">
      <c r="A30" s="1" t="str">
        <v>2027-02-24</v>
      </c>
      <c r="B30" s="1" t="str">
        <v>FixedRateCoupon</v>
      </c>
      <c r="C30" s="12">
        <v>1277.2236911520017</v>
      </c>
      <c r="D30" s="11">
        <v>0</v>
      </c>
      <c r="E30" s="13">
        <v>8.611111111111111E-2</v>
      </c>
      <c r="F30" s="1" t="str">
        <v>EUR</v>
      </c>
      <c r="G30" s="11">
        <v>0</v>
      </c>
      <c r="H30" s="11">
        <v>0</v>
      </c>
      <c r="I30" s="1">
        <v>0</v>
      </c>
    </row>
    <row r="31" spans="1:9" ht="24" customHeight="1" x14ac:dyDescent="0.25">
      <c r="A31" s="1" t="str">
        <v>2027-02-24</v>
      </c>
      <c r="B31" s="1" t="str">
        <v>Redemption</v>
      </c>
      <c r="C31" s="12">
        <v>235.38915239326889</v>
      </c>
      <c r="D31" s="11">
        <v>0</v>
      </c>
      <c r="E31" s="13">
        <v>0</v>
      </c>
      <c r="F31" s="1" t="str">
        <v>EUR</v>
      </c>
      <c r="G31" s="11">
        <v>0</v>
      </c>
      <c r="H31" s="11">
        <v>0</v>
      </c>
      <c r="I31" s="1">
        <v>0</v>
      </c>
    </row>
    <row r="32" spans="1:9" ht="24" customHeight="1" x14ac:dyDescent="0.25">
      <c r="A32" s="1" t="str">
        <v>2027-03-24</v>
      </c>
      <c r="B32" s="1" t="str">
        <v>FixedRateCoupon</v>
      </c>
      <c r="C32" s="12">
        <v>1152.522915748704</v>
      </c>
      <c r="D32" s="11">
        <v>0</v>
      </c>
      <c r="E32" s="13">
        <v>7.7777777777777779E-2</v>
      </c>
      <c r="F32" s="1" t="str">
        <v>EUR</v>
      </c>
      <c r="G32" s="11">
        <v>0</v>
      </c>
      <c r="H32" s="11">
        <v>0</v>
      </c>
      <c r="I32" s="1">
        <v>0</v>
      </c>
    </row>
    <row r="33" spans="1:9" ht="24" customHeight="1" x14ac:dyDescent="0.25">
      <c r="A33" s="1" t="str">
        <v>2027-03-24</v>
      </c>
      <c r="B33" s="1" t="str">
        <v>Redemption</v>
      </c>
      <c r="C33" s="12">
        <v>360.08992779662367</v>
      </c>
      <c r="D33" s="11">
        <v>0</v>
      </c>
      <c r="E33" s="13">
        <v>0</v>
      </c>
      <c r="F33" s="1" t="str">
        <v>EUR</v>
      </c>
      <c r="G33" s="11">
        <v>0</v>
      </c>
      <c r="H33" s="11">
        <v>0</v>
      </c>
      <c r="I33" s="1">
        <v>0</v>
      </c>
    </row>
    <row r="34" spans="1:9" ht="24" customHeight="1" x14ac:dyDescent="0.25">
      <c r="A34" s="1" t="str">
        <v>2027-04-24</v>
      </c>
      <c r="B34" s="1" t="str">
        <v>FixedRateCoupon</v>
      </c>
      <c r="C34" s="12">
        <v>1274.1470492376873</v>
      </c>
      <c r="D34" s="11">
        <v>0</v>
      </c>
      <c r="E34" s="13">
        <v>8.611111111111111E-2</v>
      </c>
      <c r="F34" s="1" t="str">
        <v>EUR</v>
      </c>
      <c r="G34" s="11">
        <v>0</v>
      </c>
      <c r="H34" s="11">
        <v>0</v>
      </c>
      <c r="I34" s="1">
        <v>0</v>
      </c>
    </row>
    <row r="35" spans="1:9" ht="24" customHeight="1" x14ac:dyDescent="0.25">
      <c r="A35" s="1" t="str">
        <v>2027-04-24</v>
      </c>
      <c r="B35" s="1" t="str">
        <v>Redemption</v>
      </c>
      <c r="C35" s="12">
        <v>238.4657943075872</v>
      </c>
      <c r="D35" s="11">
        <v>0</v>
      </c>
      <c r="E35" s="13">
        <v>0</v>
      </c>
      <c r="F35" s="1" t="str">
        <v>EUR</v>
      </c>
      <c r="G35" s="11">
        <v>0</v>
      </c>
      <c r="H35" s="11">
        <v>0</v>
      </c>
      <c r="I35" s="1">
        <v>0</v>
      </c>
    </row>
    <row r="36" spans="1:9" ht="24" customHeight="1" x14ac:dyDescent="0.25">
      <c r="A36" s="1" t="str">
        <v>2027-05-24</v>
      </c>
      <c r="B36" s="1" t="str">
        <v>FixedRateCoupon</v>
      </c>
      <c r="C36" s="12">
        <v>1231.8532025488046</v>
      </c>
      <c r="D36" s="11">
        <v>0</v>
      </c>
      <c r="E36" s="13">
        <v>8.3333333333333329E-2</v>
      </c>
      <c r="F36" s="1" t="str">
        <v>EUR</v>
      </c>
      <c r="G36" s="11">
        <v>0</v>
      </c>
      <c r="H36" s="11">
        <v>0</v>
      </c>
      <c r="I36" s="1">
        <v>0</v>
      </c>
    </row>
    <row r="37" spans="1:9" ht="24" customHeight="1" x14ac:dyDescent="0.25">
      <c r="A37" s="1" t="str">
        <v>2027-05-24</v>
      </c>
      <c r="B37" s="1" t="str">
        <v>Redemption</v>
      </c>
      <c r="C37" s="12">
        <v>280.75964099651901</v>
      </c>
      <c r="D37" s="11">
        <v>0</v>
      </c>
      <c r="E37" s="13">
        <v>0</v>
      </c>
      <c r="F37" s="1" t="str">
        <v>EUR</v>
      </c>
      <c r="G37" s="11">
        <v>0</v>
      </c>
      <c r="H37" s="11">
        <v>0</v>
      </c>
      <c r="I37" s="1">
        <v>0</v>
      </c>
    </row>
    <row r="38" spans="1:9" ht="24" customHeight="1" x14ac:dyDescent="0.25">
      <c r="A38" s="1" t="str">
        <v>2027-06-24</v>
      </c>
      <c r="B38" s="1" t="str">
        <v>FixedRateCoupon</v>
      </c>
      <c r="C38" s="12">
        <v>1271.4643844886161</v>
      </c>
      <c r="D38" s="11">
        <v>0</v>
      </c>
      <c r="E38" s="13">
        <v>8.611111111111111E-2</v>
      </c>
      <c r="F38" s="1" t="str">
        <v>EUR</v>
      </c>
      <c r="G38" s="11">
        <v>0</v>
      </c>
      <c r="H38" s="11">
        <v>0</v>
      </c>
      <c r="I38" s="1">
        <v>0</v>
      </c>
    </row>
    <row r="39" spans="1:9" ht="24" customHeight="1" x14ac:dyDescent="0.25">
      <c r="A39" s="1" t="str">
        <v>2027-06-24</v>
      </c>
      <c r="B39" s="1" t="str">
        <v>Redemption</v>
      </c>
      <c r="C39" s="12">
        <v>241.14845905665425</v>
      </c>
      <c r="D39" s="11">
        <v>0</v>
      </c>
      <c r="E39" s="13">
        <v>0</v>
      </c>
      <c r="F39" s="1" t="str">
        <v>EUR</v>
      </c>
      <c r="G39" s="11">
        <v>0</v>
      </c>
      <c r="H39" s="11">
        <v>0</v>
      </c>
      <c r="I39" s="1">
        <v>0</v>
      </c>
    </row>
    <row r="40" spans="1:9" ht="24" customHeight="1" x14ac:dyDescent="0.25">
      <c r="A40" s="1" t="str">
        <v>2027-07-24</v>
      </c>
      <c r="B40" s="1" t="str">
        <v>FixedRateCoupon</v>
      </c>
      <c r="C40" s="12">
        <v>1229.2436620485387</v>
      </c>
      <c r="D40" s="11">
        <v>0</v>
      </c>
      <c r="E40" s="13">
        <v>8.3333333333333329E-2</v>
      </c>
      <c r="F40" s="1" t="str">
        <v>EUR</v>
      </c>
      <c r="G40" s="11">
        <v>0</v>
      </c>
      <c r="H40" s="11">
        <v>0</v>
      </c>
      <c r="I40" s="1">
        <v>0</v>
      </c>
    </row>
    <row r="41" spans="1:9" ht="24" customHeight="1" x14ac:dyDescent="0.25">
      <c r="A41" s="1" t="str">
        <v>2027-07-24</v>
      </c>
      <c r="B41" s="1" t="str">
        <v>Redemption</v>
      </c>
      <c r="C41" s="12">
        <v>283.36918149678968</v>
      </c>
      <c r="D41" s="11">
        <v>0</v>
      </c>
      <c r="E41" s="13">
        <v>0</v>
      </c>
      <c r="F41" s="1" t="str">
        <v>EUR</v>
      </c>
      <c r="G41" s="11">
        <v>0</v>
      </c>
      <c r="H41" s="11">
        <v>0</v>
      </c>
      <c r="I41" s="1">
        <v>0</v>
      </c>
    </row>
    <row r="42" spans="1:9" ht="24" customHeight="1" x14ac:dyDescent="0.25">
      <c r="A42" s="1" t="str">
        <v>2027-08-24</v>
      </c>
      <c r="B42" s="1" t="str">
        <v>FixedRateCoupon</v>
      </c>
      <c r="C42" s="12">
        <v>1268.75437667909</v>
      </c>
      <c r="D42" s="11">
        <v>0</v>
      </c>
      <c r="E42" s="13">
        <v>8.611111111111111E-2</v>
      </c>
      <c r="F42" s="1" t="str">
        <v>EUR</v>
      </c>
      <c r="G42" s="11">
        <v>0</v>
      </c>
      <c r="H42" s="11">
        <v>0</v>
      </c>
      <c r="I42" s="1">
        <v>0</v>
      </c>
    </row>
    <row r="43" spans="1:9" ht="24" customHeight="1" x14ac:dyDescent="0.25">
      <c r="A43" s="1" t="str">
        <v>2027-08-24</v>
      </c>
      <c r="B43" s="1" t="str">
        <v>Redemption</v>
      </c>
      <c r="C43" s="12">
        <v>243.85846686619334</v>
      </c>
      <c r="D43" s="11">
        <v>0</v>
      </c>
      <c r="E43" s="13">
        <v>0</v>
      </c>
      <c r="F43" s="1" t="str">
        <v>EUR</v>
      </c>
      <c r="G43" s="11">
        <v>0</v>
      </c>
      <c r="H43" s="11">
        <v>0</v>
      </c>
      <c r="I43" s="1">
        <v>0</v>
      </c>
    </row>
    <row r="44" spans="1:9" ht="24" customHeight="1" x14ac:dyDescent="0.25">
      <c r="A44" s="1" t="str">
        <v>2027-09-24</v>
      </c>
      <c r="B44" s="1" t="str">
        <v>FixedRateCoupon</v>
      </c>
      <c r="C44" s="12">
        <v>1267.4944412669479</v>
      </c>
      <c r="D44" s="11">
        <v>0</v>
      </c>
      <c r="E44" s="13">
        <v>8.611111111111111E-2</v>
      </c>
      <c r="F44" s="1" t="str">
        <v>EUR</v>
      </c>
      <c r="G44" s="11">
        <v>0</v>
      </c>
      <c r="H44" s="11">
        <v>0</v>
      </c>
      <c r="I44" s="1">
        <v>0</v>
      </c>
    </row>
    <row r="45" spans="1:9" ht="24" customHeight="1" x14ac:dyDescent="0.25">
      <c r="A45" s="1" t="str">
        <v>2027-09-24</v>
      </c>
      <c r="B45" s="1" t="str">
        <v>Redemption</v>
      </c>
      <c r="C45" s="12">
        <v>245.11840227834182</v>
      </c>
      <c r="D45" s="11">
        <v>0</v>
      </c>
      <c r="E45" s="13">
        <v>0</v>
      </c>
      <c r="F45" s="1" t="str">
        <v>EUR</v>
      </c>
      <c r="G45" s="11">
        <v>0</v>
      </c>
      <c r="H45" s="11">
        <v>0</v>
      </c>
      <c r="I45" s="1">
        <v>0</v>
      </c>
    </row>
    <row r="46" spans="1:9" ht="24" customHeight="1" x14ac:dyDescent="0.25">
      <c r="A46" s="1" t="str">
        <v>2027-10-24</v>
      </c>
      <c r="B46" s="1" t="str">
        <v>FixedRateCoupon</v>
      </c>
      <c r="C46" s="12">
        <v>1225.3819317953321</v>
      </c>
      <c r="D46" s="11">
        <v>0</v>
      </c>
      <c r="E46" s="13">
        <v>8.3333333333333329E-2</v>
      </c>
      <c r="F46" s="1" t="str">
        <v>EUR</v>
      </c>
      <c r="G46" s="11">
        <v>0</v>
      </c>
      <c r="H46" s="11">
        <v>0</v>
      </c>
      <c r="I46" s="1">
        <v>0</v>
      </c>
    </row>
    <row r="47" spans="1:9" ht="24" customHeight="1" x14ac:dyDescent="0.25">
      <c r="A47" s="1" t="str">
        <v>2027-10-24</v>
      </c>
      <c r="B47" s="1" t="str">
        <v>Redemption</v>
      </c>
      <c r="C47" s="12">
        <v>287.23091174999718</v>
      </c>
      <c r="D47" s="11">
        <v>0</v>
      </c>
      <c r="E47" s="13">
        <v>0</v>
      </c>
      <c r="F47" s="1" t="str">
        <v>EUR</v>
      </c>
      <c r="G47" s="11">
        <v>0</v>
      </c>
      <c r="H47" s="11">
        <v>0</v>
      </c>
      <c r="I47" s="1">
        <v>0</v>
      </c>
    </row>
    <row r="48" spans="1:9" ht="24" customHeight="1" x14ac:dyDescent="0.25">
      <c r="A48" s="1" t="str">
        <v>2027-11-24</v>
      </c>
      <c r="B48" s="1" t="str">
        <v>FixedRateCoupon</v>
      </c>
      <c r="C48" s="12">
        <v>1264.743969811135</v>
      </c>
      <c r="D48" s="11">
        <v>0</v>
      </c>
      <c r="E48" s="13">
        <v>8.611111111111111E-2</v>
      </c>
      <c r="F48" s="1" t="str">
        <v>EUR</v>
      </c>
      <c r="G48" s="11">
        <v>0</v>
      </c>
      <c r="H48" s="11">
        <v>0</v>
      </c>
      <c r="I48" s="1">
        <v>0</v>
      </c>
    </row>
    <row r="49" spans="1:9" ht="24" customHeight="1" x14ac:dyDescent="0.25">
      <c r="A49" s="1" t="str">
        <v>2027-11-24</v>
      </c>
      <c r="B49" s="1" t="str">
        <v>Redemption</v>
      </c>
      <c r="C49" s="12">
        <v>247.86887373414356</v>
      </c>
      <c r="D49" s="11">
        <v>0</v>
      </c>
      <c r="E49" s="13">
        <v>0</v>
      </c>
      <c r="F49" s="1" t="str">
        <v>EUR</v>
      </c>
      <c r="G49" s="11">
        <v>0</v>
      </c>
      <c r="H49" s="11">
        <v>0</v>
      </c>
      <c r="I49" s="1">
        <v>0</v>
      </c>
    </row>
    <row r="50" spans="1:9" ht="24" customHeight="1" x14ac:dyDescent="0.25">
      <c r="A50" s="1" t="str">
        <v>2027-12-24</v>
      </c>
      <c r="B50" s="1" t="str">
        <v>FixedRateCoupon</v>
      </c>
      <c r="C50" s="12">
        <v>1222.7064328679114</v>
      </c>
      <c r="D50" s="11">
        <v>0</v>
      </c>
      <c r="E50" s="13">
        <v>8.3333333333333329E-2</v>
      </c>
      <c r="F50" s="1" t="str">
        <v>EUR</v>
      </c>
      <c r="G50" s="11">
        <v>0</v>
      </c>
      <c r="H50" s="11">
        <v>0</v>
      </c>
      <c r="I50" s="1">
        <v>0</v>
      </c>
    </row>
    <row r="51" spans="1:9" ht="24" customHeight="1" x14ac:dyDescent="0.25">
      <c r="A51" s="1" t="str">
        <v>2027-12-24</v>
      </c>
      <c r="B51" s="1" t="str">
        <v>Redemption</v>
      </c>
      <c r="C51" s="12">
        <v>289.90641067741672</v>
      </c>
      <c r="D51" s="11">
        <v>0</v>
      </c>
      <c r="E51" s="13">
        <v>0</v>
      </c>
      <c r="F51" s="1" t="str">
        <v>EUR</v>
      </c>
      <c r="G51" s="11">
        <v>0</v>
      </c>
      <c r="H51" s="11">
        <v>0</v>
      </c>
      <c r="I51" s="1">
        <v>0</v>
      </c>
    </row>
    <row r="52" spans="1:9" ht="24" customHeight="1" x14ac:dyDescent="0.25">
      <c r="A52" s="1" t="str">
        <v>2028-01-24</v>
      </c>
      <c r="B52" s="1" t="str">
        <v>FixedRateCoupon</v>
      </c>
      <c r="C52" s="12">
        <v>1261.9654641750085</v>
      </c>
      <c r="D52" s="11">
        <v>0</v>
      </c>
      <c r="E52" s="13">
        <v>8.611111111111111E-2</v>
      </c>
      <c r="F52" s="1" t="str">
        <v>EUR</v>
      </c>
      <c r="G52" s="11">
        <v>0</v>
      </c>
      <c r="H52" s="11">
        <v>0</v>
      </c>
      <c r="I52" s="1">
        <v>0</v>
      </c>
    </row>
    <row r="53" spans="1:9" ht="24" customHeight="1" x14ac:dyDescent="0.25">
      <c r="A53" s="1" t="str">
        <v>2028-01-24</v>
      </c>
      <c r="B53" s="1" t="str">
        <v>Redemption</v>
      </c>
      <c r="C53" s="12">
        <v>250.64737937026075</v>
      </c>
      <c r="D53" s="11">
        <v>0</v>
      </c>
      <c r="E53" s="13">
        <v>0</v>
      </c>
      <c r="F53" s="1" t="str">
        <v>EUR</v>
      </c>
      <c r="G53" s="11">
        <v>0</v>
      </c>
      <c r="H53" s="11">
        <v>0</v>
      </c>
      <c r="I53" s="1">
        <v>0</v>
      </c>
    </row>
    <row r="54" spans="1:9" ht="24" customHeight="1" x14ac:dyDescent="0.25">
      <c r="A54" s="1" t="str">
        <v>2028-02-24</v>
      </c>
      <c r="B54" s="1" t="str">
        <v>FixedRateCoupon</v>
      </c>
      <c r="C54" s="12">
        <v>1260.6704527149288</v>
      </c>
      <c r="D54" s="11">
        <v>0</v>
      </c>
      <c r="E54" s="13">
        <v>8.611111111111111E-2</v>
      </c>
      <c r="F54" s="1" t="str">
        <v>EUR</v>
      </c>
      <c r="G54" s="11">
        <v>0</v>
      </c>
      <c r="H54" s="11">
        <v>0</v>
      </c>
      <c r="I54" s="1">
        <v>0</v>
      </c>
    </row>
    <row r="55" spans="1:9" ht="24" customHeight="1" x14ac:dyDescent="0.25">
      <c r="A55" s="1" t="str">
        <v>2028-02-24</v>
      </c>
      <c r="B55" s="1" t="str">
        <v>Redemption</v>
      </c>
      <c r="C55" s="12">
        <v>251.94239083034336</v>
      </c>
      <c r="D55" s="11">
        <v>0</v>
      </c>
      <c r="E55" s="13">
        <v>0</v>
      </c>
      <c r="F55" s="1" t="str">
        <v>EUR</v>
      </c>
      <c r="G55" s="11">
        <v>0</v>
      </c>
      <c r="H55" s="11">
        <v>0</v>
      </c>
      <c r="I55" s="1">
        <v>0</v>
      </c>
    </row>
    <row r="56" spans="1:9" ht="24" customHeight="1" x14ac:dyDescent="0.25">
      <c r="A56" s="1" t="str">
        <v>2028-03-24</v>
      </c>
      <c r="B56" s="1" t="str">
        <v>FixedRateCoupon</v>
      </c>
      <c r="C56" s="12">
        <v>1178.1191535647374</v>
      </c>
      <c r="D56" s="11">
        <v>0</v>
      </c>
      <c r="E56" s="13">
        <v>8.0555555555555561E-2</v>
      </c>
      <c r="F56" s="1" t="str">
        <v>EUR</v>
      </c>
      <c r="G56" s="11">
        <v>0</v>
      </c>
      <c r="H56" s="11">
        <v>0</v>
      </c>
      <c r="I56" s="1">
        <v>0</v>
      </c>
    </row>
    <row r="57" spans="1:9" ht="24" customHeight="1" x14ac:dyDescent="0.25">
      <c r="A57" s="1" t="str">
        <v>2028-03-24</v>
      </c>
      <c r="B57" s="1" t="str">
        <v>Redemption</v>
      </c>
      <c r="C57" s="12">
        <v>334.49368998059072</v>
      </c>
      <c r="D57" s="11">
        <v>0</v>
      </c>
      <c r="E57" s="13">
        <v>0</v>
      </c>
      <c r="F57" s="1" t="str">
        <v>EUR</v>
      </c>
      <c r="G57" s="11">
        <v>0</v>
      </c>
      <c r="H57" s="11">
        <v>0</v>
      </c>
      <c r="I57" s="1">
        <v>0</v>
      </c>
    </row>
    <row r="58" spans="1:9" ht="24" customHeight="1" x14ac:dyDescent="0.25">
      <c r="A58" s="1" t="str">
        <v>2028-04-24</v>
      </c>
      <c r="B58" s="1" t="str">
        <v>FixedRateCoupon</v>
      </c>
      <c r="C58" s="12">
        <v>1257.6405329640725</v>
      </c>
      <c r="D58" s="11">
        <v>0</v>
      </c>
      <c r="E58" s="13">
        <v>8.611111111111111E-2</v>
      </c>
      <c r="F58" s="1" t="str">
        <v>EUR</v>
      </c>
      <c r="G58" s="11">
        <v>0</v>
      </c>
      <c r="H58" s="11">
        <v>0</v>
      </c>
      <c r="I58" s="1">
        <v>0</v>
      </c>
    </row>
    <row r="59" spans="1:9" ht="24" customHeight="1" x14ac:dyDescent="0.25">
      <c r="A59" s="1" t="str">
        <v>2028-04-24</v>
      </c>
      <c r="B59" s="1" t="str">
        <v>Redemption</v>
      </c>
      <c r="C59" s="12">
        <v>254.97231058121542</v>
      </c>
      <c r="D59" s="11">
        <v>0</v>
      </c>
      <c r="E59" s="13">
        <v>0</v>
      </c>
      <c r="F59" s="1" t="str">
        <v>EUR</v>
      </c>
      <c r="G59" s="11">
        <v>0</v>
      </c>
      <c r="H59" s="11">
        <v>0</v>
      </c>
      <c r="I59" s="1">
        <v>0</v>
      </c>
    </row>
    <row r="60" spans="1:9" ht="24" customHeight="1" x14ac:dyDescent="0.25">
      <c r="A60" s="1" t="str">
        <v>2028-05-24</v>
      </c>
      <c r="B60" s="1" t="str">
        <v>FixedRateCoupon</v>
      </c>
      <c r="C60" s="12">
        <v>1215.7966219607124</v>
      </c>
      <c r="D60" s="11">
        <v>0</v>
      </c>
      <c r="E60" s="13">
        <v>8.3333333333333329E-2</v>
      </c>
      <c r="F60" s="1" t="str">
        <v>EUR</v>
      </c>
      <c r="G60" s="11">
        <v>0</v>
      </c>
      <c r="H60" s="11">
        <v>0</v>
      </c>
      <c r="I60" s="1">
        <v>0</v>
      </c>
    </row>
    <row r="61" spans="1:9" ht="24" customHeight="1" x14ac:dyDescent="0.25">
      <c r="A61" s="1" t="str">
        <v>2028-05-24</v>
      </c>
      <c r="B61" s="1" t="str">
        <v>Redemption</v>
      </c>
      <c r="C61" s="12">
        <v>296.81622158462415</v>
      </c>
      <c r="D61" s="11">
        <v>0</v>
      </c>
      <c r="E61" s="13">
        <v>0</v>
      </c>
      <c r="F61" s="1" t="str">
        <v>EUR</v>
      </c>
      <c r="G61" s="11">
        <v>0</v>
      </c>
      <c r="H61" s="11">
        <v>0</v>
      </c>
      <c r="I61" s="1">
        <v>0</v>
      </c>
    </row>
    <row r="62" spans="1:9" ht="24" customHeight="1" x14ac:dyDescent="0.25">
      <c r="A62" s="1" t="str">
        <v>2028-06-24</v>
      </c>
      <c r="B62" s="1" t="str">
        <v>FixedRateCoupon</v>
      </c>
      <c r="C62" s="12">
        <v>1254.7896255478822</v>
      </c>
      <c r="D62" s="11">
        <v>0</v>
      </c>
      <c r="E62" s="13">
        <v>8.611111111111111E-2</v>
      </c>
      <c r="F62" s="1" t="str">
        <v>EUR</v>
      </c>
      <c r="G62" s="11">
        <v>0</v>
      </c>
      <c r="H62" s="11">
        <v>0</v>
      </c>
      <c r="I62" s="1">
        <v>0</v>
      </c>
    </row>
    <row r="63" spans="1:9" ht="24" customHeight="1" x14ac:dyDescent="0.25">
      <c r="A63" s="1" t="str">
        <v>2028-06-24</v>
      </c>
      <c r="B63" s="1" t="str">
        <v>Redemption</v>
      </c>
      <c r="C63" s="12">
        <v>257.82321799741476</v>
      </c>
      <c r="D63" s="11">
        <v>0</v>
      </c>
      <c r="E63" s="13">
        <v>0</v>
      </c>
      <c r="F63" s="1" t="str">
        <v>EUR</v>
      </c>
      <c r="G63" s="11">
        <v>0</v>
      </c>
      <c r="H63" s="11">
        <v>0</v>
      </c>
      <c r="I63" s="1">
        <v>0</v>
      </c>
    </row>
    <row r="64" spans="1:9" ht="24" customHeight="1" x14ac:dyDescent="0.25">
      <c r="A64" s="1" t="str">
        <v>2028-07-24</v>
      </c>
      <c r="B64" s="1" t="str">
        <v>FixedRateCoupon</v>
      </c>
      <c r="C64" s="12">
        <v>1213.0234247628021</v>
      </c>
      <c r="D64" s="11">
        <v>0</v>
      </c>
      <c r="E64" s="13">
        <v>8.3333333333333329E-2</v>
      </c>
      <c r="F64" s="1" t="str">
        <v>EUR</v>
      </c>
      <c r="G64" s="11">
        <v>0</v>
      </c>
      <c r="H64" s="11">
        <v>0</v>
      </c>
      <c r="I64" s="1">
        <v>0</v>
      </c>
    </row>
    <row r="65" spans="1:9" ht="24" customHeight="1" x14ac:dyDescent="0.25">
      <c r="A65" s="1" t="str">
        <v>2028-07-24</v>
      </c>
      <c r="B65" s="1" t="str">
        <v>Redemption</v>
      </c>
      <c r="C65" s="12">
        <v>299.58941878253245</v>
      </c>
      <c r="D65" s="11">
        <v>0</v>
      </c>
      <c r="E65" s="13">
        <v>0</v>
      </c>
      <c r="F65" s="1" t="str">
        <v>EUR</v>
      </c>
      <c r="G65" s="11">
        <v>0</v>
      </c>
      <c r="H65" s="11">
        <v>0</v>
      </c>
      <c r="I65" s="1">
        <v>0</v>
      </c>
    </row>
    <row r="66" spans="1:9" ht="24" customHeight="1" x14ac:dyDescent="0.25">
      <c r="A66" s="1" t="str">
        <v>2028-08-24</v>
      </c>
      <c r="B66" s="1" t="str">
        <v>FixedRateCoupon</v>
      </c>
      <c r="C66" s="12">
        <v>1251.9096602578525</v>
      </c>
      <c r="D66" s="11">
        <v>0</v>
      </c>
      <c r="E66" s="13">
        <v>8.611111111111111E-2</v>
      </c>
      <c r="F66" s="1" t="str">
        <v>EUR</v>
      </c>
      <c r="G66" s="11">
        <v>0</v>
      </c>
      <c r="H66" s="11">
        <v>0</v>
      </c>
      <c r="I66" s="1">
        <v>0</v>
      </c>
    </row>
    <row r="67" spans="1:9" ht="24" customHeight="1" x14ac:dyDescent="0.25">
      <c r="A67" s="1" t="str">
        <v>2028-08-24</v>
      </c>
      <c r="B67" s="1" t="str">
        <v>Redemption</v>
      </c>
      <c r="C67" s="12">
        <v>260.70318328743451</v>
      </c>
      <c r="D67" s="11">
        <v>0</v>
      </c>
      <c r="E67" s="13">
        <v>0</v>
      </c>
      <c r="F67" s="1" t="str">
        <v>EUR</v>
      </c>
      <c r="G67" s="11">
        <v>0</v>
      </c>
      <c r="H67" s="11">
        <v>0</v>
      </c>
      <c r="I67" s="1">
        <v>0</v>
      </c>
    </row>
    <row r="68" spans="1:9" ht="24" customHeight="1" x14ac:dyDescent="0.25">
      <c r="A68" s="1" t="str">
        <v>2028-09-24</v>
      </c>
      <c r="B68" s="1" t="str">
        <v>FixedRateCoupon</v>
      </c>
      <c r="C68" s="12">
        <v>1250.5626938108674</v>
      </c>
      <c r="D68" s="11">
        <v>0</v>
      </c>
      <c r="E68" s="13">
        <v>8.611111111111111E-2</v>
      </c>
      <c r="F68" s="1" t="str">
        <v>EUR</v>
      </c>
      <c r="G68" s="11">
        <v>0</v>
      </c>
      <c r="H68" s="11">
        <v>0</v>
      </c>
      <c r="I68" s="1">
        <v>0</v>
      </c>
    </row>
    <row r="69" spans="1:9" ht="24" customHeight="1" x14ac:dyDescent="0.25">
      <c r="A69" s="1" t="str">
        <v>2028-09-24</v>
      </c>
      <c r="B69" s="1" t="str">
        <v>Redemption</v>
      </c>
      <c r="C69" s="12">
        <v>262.05014973442303</v>
      </c>
      <c r="D69" s="11">
        <v>0</v>
      </c>
      <c r="E69" s="13">
        <v>0</v>
      </c>
      <c r="F69" s="1" t="str">
        <v>EUR</v>
      </c>
      <c r="G69" s="11">
        <v>0</v>
      </c>
      <c r="H69" s="11">
        <v>0</v>
      </c>
      <c r="I69" s="1">
        <v>0</v>
      </c>
    </row>
    <row r="70" spans="1:9" ht="24" customHeight="1" x14ac:dyDescent="0.25">
      <c r="A70" s="1" t="str">
        <v>2028-10-24</v>
      </c>
      <c r="B70" s="1" t="str">
        <v>FixedRateCoupon</v>
      </c>
      <c r="C70" s="12">
        <v>1208.9117110037801</v>
      </c>
      <c r="D70" s="11">
        <v>0</v>
      </c>
      <c r="E70" s="13">
        <v>8.3333333333333329E-2</v>
      </c>
      <c r="F70" s="1" t="str">
        <v>EUR</v>
      </c>
      <c r="G70" s="11">
        <v>0</v>
      </c>
      <c r="H70" s="11">
        <v>0</v>
      </c>
      <c r="I70" s="1">
        <v>0</v>
      </c>
    </row>
    <row r="71" spans="1:9" ht="24" customHeight="1" x14ac:dyDescent="0.25">
      <c r="A71" s="1" t="str">
        <v>2028-10-24</v>
      </c>
      <c r="B71" s="1" t="str">
        <v>Redemption</v>
      </c>
      <c r="C71" s="12">
        <v>303.70113254155149</v>
      </c>
      <c r="D71" s="11">
        <v>0</v>
      </c>
      <c r="E71" s="13">
        <v>0</v>
      </c>
      <c r="F71" s="1" t="str">
        <v>EUR</v>
      </c>
      <c r="G71" s="11">
        <v>0</v>
      </c>
      <c r="H71" s="11">
        <v>0</v>
      </c>
      <c r="I71" s="1">
        <v>0</v>
      </c>
    </row>
    <row r="72" spans="1:9" ht="24" customHeight="1" x14ac:dyDescent="0.25">
      <c r="A72" s="1" t="str">
        <v>2028-11-24</v>
      </c>
      <c r="B72" s="1" t="str">
        <v>FixedRateCoupon</v>
      </c>
      <c r="C72" s="12">
        <v>1247.6396455191082</v>
      </c>
      <c r="D72" s="11">
        <v>0</v>
      </c>
      <c r="E72" s="13">
        <v>8.611111111111111E-2</v>
      </c>
      <c r="F72" s="1" t="str">
        <v>EUR</v>
      </c>
      <c r="G72" s="11">
        <v>0</v>
      </c>
      <c r="H72" s="11">
        <v>0</v>
      </c>
      <c r="I72" s="1">
        <v>0</v>
      </c>
    </row>
    <row r="73" spans="1:9" ht="24" customHeight="1" x14ac:dyDescent="0.25">
      <c r="A73" s="1" t="str">
        <v>2028-11-24</v>
      </c>
      <c r="B73" s="1" t="str">
        <v>Redemption</v>
      </c>
      <c r="C73" s="12">
        <v>264.97319802618586</v>
      </c>
      <c r="D73" s="11">
        <v>0</v>
      </c>
      <c r="E73" s="13">
        <v>0</v>
      </c>
      <c r="F73" s="1" t="str">
        <v>EUR</v>
      </c>
      <c r="G73" s="11">
        <v>0</v>
      </c>
      <c r="H73" s="11">
        <v>0</v>
      </c>
      <c r="I73" s="1">
        <v>0</v>
      </c>
    </row>
    <row r="74" spans="1:9" ht="24" customHeight="1" x14ac:dyDescent="0.25">
      <c r="A74" s="1" t="str">
        <v>2028-12-24</v>
      </c>
      <c r="B74" s="1" t="str">
        <v>FixedRateCoupon</v>
      </c>
      <c r="C74" s="12">
        <v>1206.0683393509414</v>
      </c>
      <c r="D74" s="11">
        <v>0</v>
      </c>
      <c r="E74" s="13">
        <v>8.3333333333333329E-2</v>
      </c>
      <c r="F74" s="1" t="str">
        <v>EUR</v>
      </c>
      <c r="G74" s="11">
        <v>0</v>
      </c>
      <c r="H74" s="11">
        <v>0</v>
      </c>
      <c r="I74" s="1">
        <v>0</v>
      </c>
    </row>
    <row r="75" spans="1:9" ht="24" customHeight="1" x14ac:dyDescent="0.25">
      <c r="A75" s="1" t="str">
        <v>2028-12-24</v>
      </c>
      <c r="B75" s="1" t="str">
        <v>Redemption</v>
      </c>
      <c r="C75" s="12">
        <v>306.544504194404</v>
      </c>
      <c r="D75" s="11">
        <v>0</v>
      </c>
      <c r="E75" s="13">
        <v>0</v>
      </c>
      <c r="F75" s="1" t="str">
        <v>EUR</v>
      </c>
      <c r="G75" s="11">
        <v>0</v>
      </c>
      <c r="H75" s="11">
        <v>0</v>
      </c>
      <c r="I75" s="1">
        <v>0</v>
      </c>
    </row>
    <row r="76" spans="1:9" ht="24" customHeight="1" x14ac:dyDescent="0.25">
      <c r="A76" s="1" t="str">
        <v>2029-01-24</v>
      </c>
      <c r="B76" s="1" t="str">
        <v>FixedRateCoupon</v>
      </c>
      <c r="C76" s="12">
        <v>1244.6868040576351</v>
      </c>
      <c r="D76" s="11">
        <v>0</v>
      </c>
      <c r="E76" s="13">
        <v>8.611111111111111E-2</v>
      </c>
      <c r="F76" s="1" t="str">
        <v>EUR</v>
      </c>
      <c r="G76" s="11">
        <v>0</v>
      </c>
      <c r="H76" s="11">
        <v>0</v>
      </c>
      <c r="I76" s="1">
        <v>0</v>
      </c>
    </row>
    <row r="77" spans="1:9" ht="24" customHeight="1" x14ac:dyDescent="0.25">
      <c r="A77" s="1" t="str">
        <v>2029-01-24</v>
      </c>
      <c r="B77" s="1" t="str">
        <v>Redemption</v>
      </c>
      <c r="C77" s="12">
        <v>267.92603948764736</v>
      </c>
      <c r="D77" s="11">
        <v>0</v>
      </c>
      <c r="E77" s="13">
        <v>0</v>
      </c>
      <c r="F77" s="1" t="str">
        <v>EUR</v>
      </c>
      <c r="G77" s="11">
        <v>0</v>
      </c>
      <c r="H77" s="11">
        <v>0</v>
      </c>
      <c r="I77" s="1">
        <v>0</v>
      </c>
    </row>
    <row r="78" spans="1:9" ht="24" customHeight="1" x14ac:dyDescent="0.25">
      <c r="A78" s="1" t="str">
        <v>2029-02-24</v>
      </c>
      <c r="B78" s="1" t="str">
        <v>FixedRateCoupon</v>
      </c>
      <c r="C78" s="12">
        <v>1243.3025195202822</v>
      </c>
      <c r="D78" s="11">
        <v>0</v>
      </c>
      <c r="E78" s="13">
        <v>8.611111111111111E-2</v>
      </c>
      <c r="F78" s="1" t="str">
        <v>EUR</v>
      </c>
      <c r="G78" s="11">
        <v>0</v>
      </c>
      <c r="H78" s="11">
        <v>0</v>
      </c>
      <c r="I78" s="1">
        <v>0</v>
      </c>
    </row>
    <row r="79" spans="1:9" ht="24" customHeight="1" x14ac:dyDescent="0.25">
      <c r="A79" s="1" t="str">
        <v>2029-02-24</v>
      </c>
      <c r="B79" s="1" t="str">
        <v>Redemption</v>
      </c>
      <c r="C79" s="12">
        <v>269.31032402499113</v>
      </c>
      <c r="D79" s="11">
        <v>0</v>
      </c>
      <c r="E79" s="13">
        <v>0</v>
      </c>
      <c r="F79" s="1" t="str">
        <v>EUR</v>
      </c>
      <c r="G79" s="11">
        <v>0</v>
      </c>
      <c r="H79" s="11">
        <v>0</v>
      </c>
      <c r="I79" s="1">
        <v>0</v>
      </c>
    </row>
    <row r="80" spans="1:9" ht="24" customHeight="1" x14ac:dyDescent="0.25">
      <c r="A80" s="1" t="str">
        <v>2029-03-24</v>
      </c>
      <c r="B80" s="1" t="str">
        <v>FixedRateCoupon</v>
      </c>
      <c r="C80" s="12">
        <v>1121.7261393449126</v>
      </c>
      <c r="D80" s="11">
        <v>0</v>
      </c>
      <c r="E80" s="13">
        <v>7.7777777777777779E-2</v>
      </c>
      <c r="F80" s="1" t="str">
        <v>EUR</v>
      </c>
      <c r="G80" s="11">
        <v>0</v>
      </c>
      <c r="H80" s="11">
        <v>0</v>
      </c>
      <c r="I80" s="1">
        <v>0</v>
      </c>
    </row>
    <row r="81" spans="1:9" ht="24" customHeight="1" x14ac:dyDescent="0.25">
      <c r="A81" s="1" t="str">
        <v>2029-03-24</v>
      </c>
      <c r="B81" s="1" t="str">
        <v>Redemption</v>
      </c>
      <c r="C81" s="12">
        <v>390.88670420041308</v>
      </c>
      <c r="D81" s="11">
        <v>0</v>
      </c>
      <c r="E81" s="13">
        <v>0</v>
      </c>
      <c r="F81" s="1" t="str">
        <v>EUR</v>
      </c>
      <c r="G81" s="11">
        <v>0</v>
      </c>
      <c r="H81" s="11">
        <v>0</v>
      </c>
      <c r="I81" s="1">
        <v>0</v>
      </c>
    </row>
    <row r="82" spans="1:9" ht="24" customHeight="1" x14ac:dyDescent="0.25">
      <c r="A82" s="1" t="str">
        <v>2029-04-24</v>
      </c>
      <c r="B82" s="1" t="str">
        <v>FixedRateCoupon</v>
      </c>
      <c r="C82" s="12">
        <v>1239.8915015411176</v>
      </c>
      <c r="D82" s="11">
        <v>0</v>
      </c>
      <c r="E82" s="13">
        <v>8.611111111111111E-2</v>
      </c>
      <c r="F82" s="1" t="str">
        <v>EUR</v>
      </c>
      <c r="G82" s="11">
        <v>0</v>
      </c>
      <c r="H82" s="11">
        <v>0</v>
      </c>
      <c r="I82" s="1">
        <v>0</v>
      </c>
    </row>
    <row r="83" spans="1:9" ht="24" customHeight="1" x14ac:dyDescent="0.25">
      <c r="A83" s="1" t="str">
        <v>2029-04-24</v>
      </c>
      <c r="B83" s="1" t="str">
        <v>Redemption</v>
      </c>
      <c r="C83" s="12">
        <v>272.72134200416622</v>
      </c>
      <c r="D83" s="11">
        <v>0</v>
      </c>
      <c r="E83" s="13">
        <v>0</v>
      </c>
      <c r="F83" s="1" t="str">
        <v>EUR</v>
      </c>
      <c r="G83" s="11">
        <v>0</v>
      </c>
      <c r="H83" s="11">
        <v>0</v>
      </c>
      <c r="I83" s="1">
        <v>0</v>
      </c>
    </row>
    <row r="84" spans="1:9" ht="24" customHeight="1" x14ac:dyDescent="0.25">
      <c r="A84" s="1" t="str">
        <v>2029-05-24</v>
      </c>
      <c r="B84" s="1" t="str">
        <v>FixedRateCoupon</v>
      </c>
      <c r="C84" s="12">
        <v>1198.5313947813831</v>
      </c>
      <c r="D84" s="11">
        <v>0</v>
      </c>
      <c r="E84" s="13">
        <v>8.3333333333333329E-2</v>
      </c>
      <c r="F84" s="1" t="str">
        <v>EUR</v>
      </c>
      <c r="G84" s="11">
        <v>0</v>
      </c>
      <c r="H84" s="11">
        <v>0</v>
      </c>
      <c r="I84" s="1">
        <v>0</v>
      </c>
    </row>
    <row r="85" spans="1:9" ht="24" customHeight="1" x14ac:dyDescent="0.25">
      <c r="A85" s="1" t="str">
        <v>2029-05-24</v>
      </c>
      <c r="B85" s="1" t="str">
        <v>Redemption</v>
      </c>
      <c r="C85" s="12">
        <v>314.08144876395818</v>
      </c>
      <c r="D85" s="11">
        <v>0</v>
      </c>
      <c r="E85" s="13">
        <v>0</v>
      </c>
      <c r="F85" s="1" t="str">
        <v>EUR</v>
      </c>
      <c r="G85" s="11">
        <v>0</v>
      </c>
      <c r="H85" s="11">
        <v>0</v>
      </c>
      <c r="I85" s="1">
        <v>0</v>
      </c>
    </row>
    <row r="86" spans="1:9" ht="24" customHeight="1" x14ac:dyDescent="0.25">
      <c r="A86" s="1" t="str">
        <v>2029-06-24</v>
      </c>
      <c r="B86" s="1" t="str">
        <v>FixedRateCoupon</v>
      </c>
      <c r="C86" s="12">
        <v>1236.8596871221489</v>
      </c>
      <c r="D86" s="11">
        <v>0</v>
      </c>
      <c r="E86" s="13">
        <v>8.611111111111111E-2</v>
      </c>
      <c r="F86" s="1" t="str">
        <v>EUR</v>
      </c>
      <c r="G86" s="11">
        <v>0</v>
      </c>
      <c r="H86" s="11">
        <v>0</v>
      </c>
      <c r="I86" s="1">
        <v>0</v>
      </c>
    </row>
    <row r="87" spans="1:9" ht="24" customHeight="1" x14ac:dyDescent="0.25">
      <c r="A87" s="1" t="str">
        <v>2029-06-24</v>
      </c>
      <c r="B87" s="1" t="str">
        <v>Redemption</v>
      </c>
      <c r="C87" s="12">
        <v>275.75315642313217</v>
      </c>
      <c r="D87" s="11">
        <v>0</v>
      </c>
      <c r="E87" s="13">
        <v>0</v>
      </c>
      <c r="F87" s="1" t="str">
        <v>EUR</v>
      </c>
      <c r="G87" s="11">
        <v>0</v>
      </c>
      <c r="H87" s="11">
        <v>0</v>
      </c>
      <c r="I87" s="1">
        <v>0</v>
      </c>
    </row>
    <row r="88" spans="1:9" ht="24" customHeight="1" x14ac:dyDescent="0.25">
      <c r="A88" s="1" t="str">
        <v>2029-07-24</v>
      </c>
      <c r="B88" s="1" t="str">
        <v>FixedRateCoupon</v>
      </c>
      <c r="C88" s="12">
        <v>1195.5822217554478</v>
      </c>
      <c r="D88" s="11">
        <v>0</v>
      </c>
      <c r="E88" s="13">
        <v>8.3333333333333329E-2</v>
      </c>
      <c r="F88" s="1" t="str">
        <v>EUR</v>
      </c>
      <c r="G88" s="11">
        <v>0</v>
      </c>
      <c r="H88" s="11">
        <v>0</v>
      </c>
      <c r="I88" s="1">
        <v>0</v>
      </c>
    </row>
    <row r="89" spans="1:9" ht="24" customHeight="1" x14ac:dyDescent="0.25">
      <c r="A89" s="1" t="str">
        <v>2029-07-24</v>
      </c>
      <c r="B89" s="1" t="str">
        <v>Redemption</v>
      </c>
      <c r="C89" s="12">
        <v>317.03062178989057</v>
      </c>
      <c r="D89" s="11">
        <v>0</v>
      </c>
      <c r="E89" s="13">
        <v>0</v>
      </c>
      <c r="F89" s="1" t="str">
        <v>EUR</v>
      </c>
      <c r="G89" s="11">
        <v>0</v>
      </c>
      <c r="H89" s="11">
        <v>0</v>
      </c>
      <c r="I89" s="1">
        <v>0</v>
      </c>
    </row>
    <row r="90" spans="1:9" ht="24" customHeight="1" x14ac:dyDescent="0.25">
      <c r="A90" s="1" t="str">
        <v>2029-08-24</v>
      </c>
      <c r="B90" s="1" t="str">
        <v>FixedRateCoupon</v>
      </c>
      <c r="C90" s="12">
        <v>1233.7969709347151</v>
      </c>
      <c r="D90" s="11">
        <v>0</v>
      </c>
      <c r="E90" s="13">
        <v>8.611111111111111E-2</v>
      </c>
      <c r="F90" s="1" t="str">
        <v>EUR</v>
      </c>
      <c r="G90" s="11">
        <v>0</v>
      </c>
      <c r="H90" s="11">
        <v>0</v>
      </c>
      <c r="I90" s="1">
        <v>0</v>
      </c>
    </row>
    <row r="91" spans="1:9" ht="24" customHeight="1" x14ac:dyDescent="0.25">
      <c r="A91" s="1" t="str">
        <v>2029-08-24</v>
      </c>
      <c r="B91" s="1" t="str">
        <v>Redemption</v>
      </c>
      <c r="C91" s="12">
        <v>278.81587261057575</v>
      </c>
      <c r="D91" s="11">
        <v>0</v>
      </c>
      <c r="E91" s="13">
        <v>0</v>
      </c>
      <c r="F91" s="1" t="str">
        <v>EUR</v>
      </c>
      <c r="G91" s="11">
        <v>0</v>
      </c>
      <c r="H91" s="11">
        <v>0</v>
      </c>
      <c r="I91" s="1">
        <v>0</v>
      </c>
    </row>
    <row r="92" spans="1:9" ht="24" customHeight="1" x14ac:dyDescent="0.25">
      <c r="A92" s="1" t="str">
        <v>2029-09-24</v>
      </c>
      <c r="B92" s="1" t="str">
        <v>FixedRateCoupon</v>
      </c>
      <c r="C92" s="12">
        <v>1232.3564222595605</v>
      </c>
      <c r="D92" s="11">
        <v>0</v>
      </c>
      <c r="E92" s="13">
        <v>8.611111111111111E-2</v>
      </c>
      <c r="F92" s="1" t="str">
        <v>EUR</v>
      </c>
      <c r="G92" s="11">
        <v>0</v>
      </c>
      <c r="H92" s="11">
        <v>0</v>
      </c>
      <c r="I92" s="1">
        <v>0</v>
      </c>
    </row>
    <row r="93" spans="1:9" ht="24" customHeight="1" x14ac:dyDescent="0.25">
      <c r="A93" s="1" t="str">
        <v>2029-09-24</v>
      </c>
      <c r="B93" s="1" t="str">
        <v>Redemption</v>
      </c>
      <c r="C93" s="12">
        <v>280.25642128571053</v>
      </c>
      <c r="D93" s="11">
        <v>0</v>
      </c>
      <c r="E93" s="13">
        <v>0</v>
      </c>
      <c r="F93" s="1" t="str">
        <v>EUR</v>
      </c>
      <c r="G93" s="11">
        <v>0</v>
      </c>
      <c r="H93" s="11">
        <v>0</v>
      </c>
      <c r="I93" s="1">
        <v>0</v>
      </c>
    </row>
    <row r="94" spans="1:9" ht="24" customHeight="1" x14ac:dyDescent="0.25">
      <c r="A94" s="1" t="str">
        <v>2029-10-24</v>
      </c>
      <c r="B94" s="1" t="str">
        <v>FixedRateCoupon</v>
      </c>
      <c r="C94" s="12">
        <v>1191.2017071770169</v>
      </c>
      <c r="D94" s="11">
        <v>0</v>
      </c>
      <c r="E94" s="13">
        <v>8.3333333333333329E-2</v>
      </c>
      <c r="F94" s="1" t="str">
        <v>EUR</v>
      </c>
      <c r="G94" s="11">
        <v>0</v>
      </c>
      <c r="H94" s="11">
        <v>0</v>
      </c>
      <c r="I94" s="1">
        <v>0</v>
      </c>
    </row>
    <row r="95" spans="1:9" ht="24" customHeight="1" x14ac:dyDescent="0.25">
      <c r="A95" s="1" t="str">
        <v>2029-10-24</v>
      </c>
      <c r="B95" s="1" t="str">
        <v>Redemption</v>
      </c>
      <c r="C95" s="12">
        <v>321.41113636831869</v>
      </c>
      <c r="D95" s="11">
        <v>0</v>
      </c>
      <c r="E95" s="13">
        <v>0</v>
      </c>
      <c r="F95" s="1" t="str">
        <v>EUR</v>
      </c>
      <c r="G95" s="11">
        <v>0</v>
      </c>
      <c r="H95" s="11">
        <v>0</v>
      </c>
      <c r="I95" s="1">
        <v>0</v>
      </c>
    </row>
    <row r="96" spans="1:9" ht="24" customHeight="1" x14ac:dyDescent="0.25">
      <c r="A96" s="1" t="str">
        <v>2029-11-24</v>
      </c>
      <c r="B96" s="1" t="str">
        <v>FixedRateCoupon</v>
      </c>
      <c r="C96" s="12">
        <v>1229.2478065450148</v>
      </c>
      <c r="D96" s="11">
        <v>0</v>
      </c>
      <c r="E96" s="13">
        <v>8.611111111111111E-2</v>
      </c>
      <c r="F96" s="1" t="str">
        <v>EUR</v>
      </c>
      <c r="G96" s="11">
        <v>0</v>
      </c>
      <c r="H96" s="11">
        <v>0</v>
      </c>
      <c r="I96" s="1">
        <v>0</v>
      </c>
    </row>
    <row r="97" spans="1:9" ht="24" customHeight="1" x14ac:dyDescent="0.25">
      <c r="A97" s="1" t="str">
        <v>2029-11-24</v>
      </c>
      <c r="B97" s="1" t="str">
        <v>Redemption</v>
      </c>
      <c r="C97" s="12">
        <v>283.36503700027242</v>
      </c>
      <c r="D97" s="11">
        <v>0</v>
      </c>
      <c r="E97" s="13">
        <v>0</v>
      </c>
      <c r="F97" s="1" t="str">
        <v>EUR</v>
      </c>
      <c r="G97" s="11">
        <v>0</v>
      </c>
      <c r="H97" s="11">
        <v>0</v>
      </c>
      <c r="I97" s="1">
        <v>0</v>
      </c>
    </row>
    <row r="98" spans="1:9" ht="24" customHeight="1" x14ac:dyDescent="0.25">
      <c r="A98" s="1" t="str">
        <v>2029-12-24</v>
      </c>
      <c r="B98" s="1" t="str">
        <v>FixedRateCoupon</v>
      </c>
      <c r="C98" s="12">
        <v>1188.1778263101742</v>
      </c>
      <c r="D98" s="11">
        <v>0</v>
      </c>
      <c r="E98" s="13">
        <v>8.3333333333333329E-2</v>
      </c>
      <c r="F98" s="1" t="str">
        <v>EUR</v>
      </c>
      <c r="G98" s="11">
        <v>0</v>
      </c>
      <c r="H98" s="11">
        <v>0</v>
      </c>
      <c r="I98" s="1">
        <v>0</v>
      </c>
    </row>
    <row r="99" spans="1:9" ht="24" customHeight="1" x14ac:dyDescent="0.25">
      <c r="A99" s="1" t="str">
        <v>2029-12-24</v>
      </c>
      <c r="B99" s="1" t="str">
        <v>Redemption</v>
      </c>
      <c r="C99" s="12">
        <v>324.43501723516965</v>
      </c>
      <c r="D99" s="11">
        <v>0</v>
      </c>
      <c r="E99" s="13">
        <v>0</v>
      </c>
      <c r="F99" s="1" t="str">
        <v>EUR</v>
      </c>
      <c r="G99" s="11">
        <v>0</v>
      </c>
      <c r="H99" s="11">
        <v>0</v>
      </c>
      <c r="I99" s="1">
        <v>0</v>
      </c>
    </row>
    <row r="100" spans="1:9" ht="24" customHeight="1" x14ac:dyDescent="0.25">
      <c r="A100" s="1" t="str">
        <v>2030-01-24</v>
      </c>
      <c r="B100" s="1" t="str">
        <v>FixedRateCoupon</v>
      </c>
      <c r="C100" s="12">
        <v>1226.1075062647981</v>
      </c>
      <c r="D100" s="11">
        <v>0</v>
      </c>
      <c r="E100" s="13">
        <v>8.611111111111111E-2</v>
      </c>
      <c r="F100" s="1" t="str">
        <v>EUR</v>
      </c>
      <c r="G100" s="11">
        <v>0</v>
      </c>
      <c r="H100" s="11">
        <v>0</v>
      </c>
      <c r="I100" s="1">
        <v>0</v>
      </c>
    </row>
    <row r="101" spans="1:9" ht="24" customHeight="1" x14ac:dyDescent="0.25">
      <c r="A101" s="1" t="str">
        <v>2030-01-24</v>
      </c>
      <c r="B101" s="1" t="str">
        <v>Redemption</v>
      </c>
      <c r="C101" s="12">
        <v>286.50533728048322</v>
      </c>
      <c r="D101" s="11">
        <v>0</v>
      </c>
      <c r="E101" s="13">
        <v>0</v>
      </c>
      <c r="F101" s="1" t="str">
        <v>EUR</v>
      </c>
      <c r="G101" s="11">
        <v>0</v>
      </c>
      <c r="H101" s="11">
        <v>0</v>
      </c>
      <c r="I101" s="1">
        <v>0</v>
      </c>
    </row>
    <row r="102" spans="1:9" ht="24" customHeight="1" x14ac:dyDescent="0.25">
      <c r="A102" s="1" t="str">
        <v>2030-02-24</v>
      </c>
      <c r="B102" s="1" t="str">
        <v>FixedRateCoupon</v>
      </c>
      <c r="C102" s="12">
        <v>1224.6272286888488</v>
      </c>
      <c r="D102" s="11">
        <v>0</v>
      </c>
      <c r="E102" s="13">
        <v>8.611111111111111E-2</v>
      </c>
      <c r="F102" s="1" t="str">
        <v>EUR</v>
      </c>
      <c r="G102" s="11">
        <v>0</v>
      </c>
      <c r="H102" s="11">
        <v>0</v>
      </c>
      <c r="I102" s="1">
        <v>0</v>
      </c>
    </row>
    <row r="103" spans="1:9" ht="24" customHeight="1" x14ac:dyDescent="0.25">
      <c r="A103" s="1" t="str">
        <v>2030-02-24</v>
      </c>
      <c r="B103" s="1" t="str">
        <v>Redemption</v>
      </c>
      <c r="C103" s="12">
        <v>287.98561485644314</v>
      </c>
      <c r="D103" s="11">
        <v>0</v>
      </c>
      <c r="E103" s="13">
        <v>0</v>
      </c>
      <c r="F103" s="1" t="str">
        <v>EUR</v>
      </c>
      <c r="G103" s="11">
        <v>0</v>
      </c>
      <c r="H103" s="11">
        <v>0</v>
      </c>
      <c r="I103" s="1">
        <v>0</v>
      </c>
    </row>
    <row r="104" spans="1:9" ht="24" customHeight="1" x14ac:dyDescent="0.25">
      <c r="A104" s="1" t="str">
        <v>2030-03-24</v>
      </c>
      <c r="B104" s="1" t="str">
        <v>FixedRateCoupon</v>
      </c>
      <c r="C104" s="12">
        <v>1104.7709833657593</v>
      </c>
      <c r="D104" s="11">
        <v>0</v>
      </c>
      <c r="E104" s="13">
        <v>7.7777777777777779E-2</v>
      </c>
      <c r="F104" s="1" t="str">
        <v>EUR</v>
      </c>
      <c r="G104" s="11">
        <v>0</v>
      </c>
      <c r="H104" s="11">
        <v>0</v>
      </c>
      <c r="I104" s="1">
        <v>0</v>
      </c>
    </row>
    <row r="105" spans="1:9" ht="24" customHeight="1" x14ac:dyDescent="0.25">
      <c r="A105" s="1" t="str">
        <v>2030-03-24</v>
      </c>
      <c r="B105" s="1" t="str">
        <v>Redemption</v>
      </c>
      <c r="C105" s="12">
        <v>407.84186017955653</v>
      </c>
      <c r="D105" s="11">
        <v>0</v>
      </c>
      <c r="E105" s="13">
        <v>0</v>
      </c>
      <c r="F105" s="1" t="str">
        <v>EUR</v>
      </c>
      <c r="G105" s="11">
        <v>0</v>
      </c>
      <c r="H105" s="11">
        <v>0</v>
      </c>
      <c r="I105" s="1">
        <v>0</v>
      </c>
    </row>
    <row r="106" spans="1:9" ht="24" customHeight="1" x14ac:dyDescent="0.25">
      <c r="A106" s="1" t="str">
        <v>2030-04-24</v>
      </c>
      <c r="B106" s="1" t="str">
        <v>FixedRateCoupon</v>
      </c>
      <c r="C106" s="12">
        <v>1221.0321200678297</v>
      </c>
      <c r="D106" s="11">
        <v>0</v>
      </c>
      <c r="E106" s="13">
        <v>8.611111111111111E-2</v>
      </c>
      <c r="F106" s="1" t="str">
        <v>EUR</v>
      </c>
      <c r="G106" s="11">
        <v>0</v>
      </c>
      <c r="H106" s="11">
        <v>0</v>
      </c>
      <c r="I106" s="1">
        <v>0</v>
      </c>
    </row>
    <row r="107" spans="1:9" ht="24" customHeight="1" x14ac:dyDescent="0.25">
      <c r="A107" s="1" t="str">
        <v>2030-04-24</v>
      </c>
      <c r="B107" s="1" t="str">
        <v>Redemption</v>
      </c>
      <c r="C107" s="12">
        <v>291.58072347744019</v>
      </c>
      <c r="D107" s="11">
        <v>0</v>
      </c>
      <c r="E107" s="13">
        <v>0</v>
      </c>
      <c r="F107" s="1" t="str">
        <v>EUR</v>
      </c>
      <c r="G107" s="11">
        <v>0</v>
      </c>
      <c r="H107" s="11">
        <v>0</v>
      </c>
      <c r="I107" s="1">
        <v>0</v>
      </c>
    </row>
    <row r="108" spans="1:9" ht="24" customHeight="1" x14ac:dyDescent="0.25">
      <c r="A108" s="1" t="str">
        <v>2030-05-24</v>
      </c>
      <c r="B108" s="1" t="str">
        <v>FixedRateCoupon</v>
      </c>
      <c r="C108" s="12">
        <v>1180.1860835450286</v>
      </c>
      <c r="D108" s="11">
        <v>0</v>
      </c>
      <c r="E108" s="13">
        <v>8.3333333333333329E-2</v>
      </c>
      <c r="F108" s="1" t="str">
        <v>EUR</v>
      </c>
      <c r="G108" s="11">
        <v>0</v>
      </c>
      <c r="H108" s="11">
        <v>0</v>
      </c>
      <c r="I108" s="1">
        <v>0</v>
      </c>
    </row>
    <row r="109" spans="1:9" ht="24" customHeight="1" x14ac:dyDescent="0.25">
      <c r="A109" s="1" t="str">
        <v>2030-05-24</v>
      </c>
      <c r="B109" s="1" t="str">
        <v>Redemption</v>
      </c>
      <c r="C109" s="12">
        <v>332.42676000029314</v>
      </c>
      <c r="D109" s="11">
        <v>0</v>
      </c>
      <c r="E109" s="13">
        <v>0</v>
      </c>
      <c r="F109" s="1" t="str">
        <v>EUR</v>
      </c>
      <c r="G109" s="11">
        <v>0</v>
      </c>
      <c r="H109" s="11">
        <v>0</v>
      </c>
      <c r="I109" s="1">
        <v>0</v>
      </c>
    </row>
    <row r="110" spans="1:9" ht="24" customHeight="1" x14ac:dyDescent="0.25">
      <c r="A110" s="1" t="str">
        <v>2030-06-24</v>
      </c>
      <c r="B110" s="1" t="str">
        <v>FixedRateCoupon</v>
      </c>
      <c r="C110" s="12">
        <v>1217.8080814031946</v>
      </c>
      <c r="D110" s="11">
        <v>0</v>
      </c>
      <c r="E110" s="13">
        <v>8.611111111111111E-2</v>
      </c>
      <c r="F110" s="1" t="str">
        <v>EUR</v>
      </c>
      <c r="G110" s="11">
        <v>0</v>
      </c>
      <c r="H110" s="11">
        <v>0</v>
      </c>
      <c r="I110" s="1">
        <v>0</v>
      </c>
    </row>
    <row r="111" spans="1:9" ht="24" customHeight="1" x14ac:dyDescent="0.25">
      <c r="A111" s="1" t="str">
        <v>2030-06-24</v>
      </c>
      <c r="B111" s="1" t="str">
        <v>Redemption</v>
      </c>
      <c r="C111" s="12">
        <v>294.80476214209921</v>
      </c>
      <c r="D111" s="11">
        <v>0</v>
      </c>
      <c r="E111" s="13">
        <v>0</v>
      </c>
      <c r="F111" s="1" t="str">
        <v>EUR</v>
      </c>
      <c r="G111" s="11">
        <v>0</v>
      </c>
      <c r="H111" s="11">
        <v>0</v>
      </c>
      <c r="I111" s="1">
        <v>0</v>
      </c>
    </row>
    <row r="112" spans="1:9" ht="24" customHeight="1" x14ac:dyDescent="0.25">
      <c r="A112" s="1" t="str">
        <v>2030-07-24</v>
      </c>
      <c r="B112" s="1" t="str">
        <v>FixedRateCoupon</v>
      </c>
      <c r="C112" s="12">
        <v>1177.0499259343167</v>
      </c>
      <c r="D112" s="11">
        <v>0</v>
      </c>
      <c r="E112" s="13">
        <v>8.3333333333333329E-2</v>
      </c>
      <c r="F112" s="1" t="str">
        <v>EUR</v>
      </c>
      <c r="G112" s="11">
        <v>0</v>
      </c>
      <c r="H112" s="11">
        <v>0</v>
      </c>
      <c r="I112" s="1">
        <v>0</v>
      </c>
    </row>
    <row r="113" spans="1:9" ht="24" customHeight="1" x14ac:dyDescent="0.25">
      <c r="A113" s="1" t="str">
        <v>2030-07-24</v>
      </c>
      <c r="B113" s="1" t="str">
        <v>Redemption</v>
      </c>
      <c r="C113" s="12">
        <v>335.56291761100874</v>
      </c>
      <c r="D113" s="11">
        <v>0</v>
      </c>
      <c r="E113" s="13">
        <v>0</v>
      </c>
      <c r="F113" s="1" t="str">
        <v>EUR</v>
      </c>
      <c r="G113" s="11">
        <v>0</v>
      </c>
      <c r="H113" s="11">
        <v>0</v>
      </c>
      <c r="I113" s="1">
        <v>0</v>
      </c>
    </row>
    <row r="114" spans="1:9" ht="24" customHeight="1" x14ac:dyDescent="0.25">
      <c r="A114" s="1" t="str">
        <v>2030-08-24</v>
      </c>
      <c r="B114" s="1" t="str">
        <v>FixedRateCoupon</v>
      </c>
      <c r="C114" s="12">
        <v>1214.5511817244703</v>
      </c>
      <c r="D114" s="11">
        <v>0</v>
      </c>
      <c r="E114" s="13">
        <v>8.611111111111111E-2</v>
      </c>
      <c r="F114" s="1" t="str">
        <v>EUR</v>
      </c>
      <c r="G114" s="11">
        <v>0</v>
      </c>
      <c r="H114" s="11">
        <v>0</v>
      </c>
      <c r="I114" s="1">
        <v>0</v>
      </c>
    </row>
    <row r="115" spans="1:9" ht="24" customHeight="1" x14ac:dyDescent="0.25">
      <c r="A115" s="1" t="str">
        <v>2030-08-24</v>
      </c>
      <c r="B115" s="1" t="str">
        <v>Redemption</v>
      </c>
      <c r="C115" s="12">
        <v>298.06166182080051</v>
      </c>
      <c r="D115" s="11">
        <v>0</v>
      </c>
      <c r="E115" s="13">
        <v>0</v>
      </c>
      <c r="F115" s="1" t="str">
        <v>EUR</v>
      </c>
      <c r="G115" s="11">
        <v>0</v>
      </c>
      <c r="H115" s="11">
        <v>0</v>
      </c>
      <c r="I115" s="1">
        <v>0</v>
      </c>
    </row>
    <row r="116" spans="1:9" ht="24" customHeight="1" x14ac:dyDescent="0.25">
      <c r="A116" s="1" t="str">
        <v>2030-09-24</v>
      </c>
      <c r="B116" s="1" t="str">
        <v>FixedRateCoupon</v>
      </c>
      <c r="C116" s="12">
        <v>1213.0111964717294</v>
      </c>
      <c r="D116" s="11">
        <v>0</v>
      </c>
      <c r="E116" s="13">
        <v>8.611111111111111E-2</v>
      </c>
      <c r="F116" s="1" t="str">
        <v>EUR</v>
      </c>
      <c r="G116" s="11">
        <v>0</v>
      </c>
      <c r="H116" s="11">
        <v>0</v>
      </c>
      <c r="I116" s="1">
        <v>0</v>
      </c>
    </row>
    <row r="117" spans="1:9" ht="24" customHeight="1" x14ac:dyDescent="0.25">
      <c r="A117" s="1" t="str">
        <v>2030-09-24</v>
      </c>
      <c r="B117" s="1" t="str">
        <v>Redemption</v>
      </c>
      <c r="C117" s="12">
        <v>299.60164707354852</v>
      </c>
      <c r="D117" s="11">
        <v>0</v>
      </c>
      <c r="E117" s="13">
        <v>0</v>
      </c>
      <c r="F117" s="1" t="str">
        <v>EUR</v>
      </c>
      <c r="G117" s="11">
        <v>0</v>
      </c>
      <c r="H117" s="11">
        <v>0</v>
      </c>
      <c r="I117" s="1">
        <v>0</v>
      </c>
    </row>
    <row r="118" spans="1:9" ht="24" customHeight="1" x14ac:dyDescent="0.25">
      <c r="A118" s="1" t="str">
        <v>2030-10-24</v>
      </c>
      <c r="B118" s="1" t="str">
        <v>FixedRateCoupon</v>
      </c>
      <c r="C118" s="12">
        <v>1172.3837948017897</v>
      </c>
      <c r="D118" s="11">
        <v>0</v>
      </c>
      <c r="E118" s="13">
        <v>8.3333333333333329E-2</v>
      </c>
      <c r="F118" s="1" t="str">
        <v>EUR</v>
      </c>
      <c r="G118" s="11">
        <v>0</v>
      </c>
      <c r="H118" s="11">
        <v>0</v>
      </c>
      <c r="I118" s="1">
        <v>0</v>
      </c>
    </row>
    <row r="119" spans="1:9" ht="24" customHeight="1" x14ac:dyDescent="0.25">
      <c r="A119" s="1" t="str">
        <v>2030-10-24</v>
      </c>
      <c r="B119" s="1" t="str">
        <v>Redemption</v>
      </c>
      <c r="C119" s="12">
        <v>340.22904874355299</v>
      </c>
      <c r="D119" s="11">
        <v>0</v>
      </c>
      <c r="E119" s="13">
        <v>0</v>
      </c>
      <c r="F119" s="1" t="str">
        <v>EUR</v>
      </c>
      <c r="G119" s="11">
        <v>0</v>
      </c>
      <c r="H119" s="11">
        <v>0</v>
      </c>
      <c r="I119" s="1">
        <v>0</v>
      </c>
    </row>
    <row r="120" spans="1:9" ht="24" customHeight="1" x14ac:dyDescent="0.25">
      <c r="A120" s="1" t="str">
        <v>2030-11-24</v>
      </c>
      <c r="B120" s="1" t="str">
        <v>FixedRateCoupon</v>
      </c>
      <c r="C120" s="12">
        <v>1209.7054045433413</v>
      </c>
      <c r="D120" s="11">
        <v>0</v>
      </c>
      <c r="E120" s="13">
        <v>8.611111111111111E-2</v>
      </c>
      <c r="F120" s="1" t="str">
        <v>EUR</v>
      </c>
      <c r="G120" s="11">
        <v>0</v>
      </c>
      <c r="H120" s="11">
        <v>0</v>
      </c>
      <c r="I120" s="1">
        <v>0</v>
      </c>
    </row>
    <row r="121" spans="1:9" ht="24" customHeight="1" x14ac:dyDescent="0.25">
      <c r="A121" s="1" t="str">
        <v>2030-11-24</v>
      </c>
      <c r="B121" s="1" t="str">
        <v>Redemption</v>
      </c>
      <c r="C121" s="12">
        <v>302.9074390019523</v>
      </c>
      <c r="D121" s="11">
        <v>0</v>
      </c>
      <c r="E121" s="13">
        <v>0</v>
      </c>
      <c r="F121" s="1" t="str">
        <v>EUR</v>
      </c>
      <c r="G121" s="11">
        <v>0</v>
      </c>
      <c r="H121" s="11">
        <v>0</v>
      </c>
      <c r="I121" s="1">
        <v>0</v>
      </c>
    </row>
    <row r="122" spans="1:9" ht="24" customHeight="1" x14ac:dyDescent="0.25">
      <c r="A122" s="1" t="str">
        <v>2030-12-24</v>
      </c>
      <c r="B122" s="1" t="str">
        <v>FixedRateCoupon</v>
      </c>
      <c r="C122" s="12">
        <v>1169.1681123630624</v>
      </c>
      <c r="D122" s="11">
        <v>0</v>
      </c>
      <c r="E122" s="13">
        <v>8.3333333333333329E-2</v>
      </c>
      <c r="F122" s="1" t="str">
        <v>EUR</v>
      </c>
      <c r="G122" s="11">
        <v>0</v>
      </c>
      <c r="H122" s="11">
        <v>0</v>
      </c>
      <c r="I122" s="1">
        <v>0</v>
      </c>
    </row>
    <row r="123" spans="1:9" ht="24" customHeight="1" x14ac:dyDescent="0.25">
      <c r="A123" s="1" t="str">
        <v>2030-12-24</v>
      </c>
      <c r="B123" s="1" t="str">
        <v>Redemption</v>
      </c>
      <c r="C123" s="12">
        <v>343.44473118227324</v>
      </c>
      <c r="D123" s="11">
        <v>0</v>
      </c>
      <c r="E123" s="13">
        <v>0</v>
      </c>
      <c r="F123" s="1" t="str">
        <v>EUR</v>
      </c>
      <c r="G123" s="11">
        <v>0</v>
      </c>
      <c r="H123" s="11">
        <v>0</v>
      </c>
      <c r="I123" s="1">
        <v>0</v>
      </c>
    </row>
    <row r="124" spans="1:9" ht="24" customHeight="1" x14ac:dyDescent="0.25">
      <c r="A124" s="1" t="str">
        <v>2031-01-24</v>
      </c>
      <c r="B124" s="1" t="str">
        <v>FixedRateCoupon</v>
      </c>
      <c r="C124" s="12">
        <v>1206.3659183307227</v>
      </c>
      <c r="D124" s="11">
        <v>0</v>
      </c>
      <c r="E124" s="13">
        <v>8.611111111111111E-2</v>
      </c>
      <c r="F124" s="1" t="str">
        <v>EUR</v>
      </c>
      <c r="G124" s="11">
        <v>0</v>
      </c>
      <c r="H124" s="11">
        <v>0</v>
      </c>
      <c r="I124" s="1">
        <v>0</v>
      </c>
    </row>
    <row r="125" spans="1:9" ht="24" customHeight="1" x14ac:dyDescent="0.25">
      <c r="A125" s="1" t="str">
        <v>2031-01-24</v>
      </c>
      <c r="B125" s="1" t="str">
        <v>Redemption</v>
      </c>
      <c r="C125" s="12">
        <v>306.24692521456745</v>
      </c>
      <c r="D125" s="11">
        <v>0</v>
      </c>
      <c r="E125" s="13">
        <v>0</v>
      </c>
      <c r="F125" s="1" t="str">
        <v>EUR</v>
      </c>
      <c r="G125" s="11">
        <v>0</v>
      </c>
      <c r="H125" s="11">
        <v>0</v>
      </c>
      <c r="I125" s="1">
        <v>0</v>
      </c>
    </row>
    <row r="126" spans="1:9" ht="24" customHeight="1" x14ac:dyDescent="0.25">
      <c r="A126" s="1" t="str">
        <v>2031-02-24</v>
      </c>
      <c r="B126" s="1" t="str">
        <v>FixedRateCoupon</v>
      </c>
      <c r="C126" s="12">
        <v>1204.7836425504474</v>
      </c>
      <c r="D126" s="11">
        <v>0</v>
      </c>
      <c r="E126" s="13">
        <v>8.611111111111111E-2</v>
      </c>
      <c r="F126" s="1" t="str">
        <v>EUR</v>
      </c>
      <c r="G126" s="11">
        <v>0</v>
      </c>
      <c r="H126" s="11">
        <v>0</v>
      </c>
      <c r="I126" s="1">
        <v>0</v>
      </c>
    </row>
    <row r="127" spans="1:9" ht="24" customHeight="1" x14ac:dyDescent="0.25">
      <c r="A127" s="1" t="str">
        <v>2031-02-24</v>
      </c>
      <c r="B127" s="1" t="str">
        <v>Redemption</v>
      </c>
      <c r="C127" s="12">
        <v>307.82920099483454</v>
      </c>
      <c r="D127" s="11">
        <v>0</v>
      </c>
      <c r="E127" s="13">
        <v>0</v>
      </c>
      <c r="F127" s="1" t="str">
        <v>EUR</v>
      </c>
      <c r="G127" s="11">
        <v>0</v>
      </c>
      <c r="H127" s="11">
        <v>0</v>
      </c>
      <c r="I127" s="1">
        <v>0</v>
      </c>
    </row>
    <row r="128" spans="1:9" ht="24" customHeight="1" x14ac:dyDescent="0.25">
      <c r="A128" s="1" t="str">
        <v>2031-03-24</v>
      </c>
      <c r="B128" s="1" t="str">
        <v>FixedRateCoupon</v>
      </c>
      <c r="C128" s="12">
        <v>1086.7551408710306</v>
      </c>
      <c r="D128" s="11">
        <v>0</v>
      </c>
      <c r="E128" s="13">
        <v>7.7777777777777779E-2</v>
      </c>
      <c r="F128" s="1" t="str">
        <v>EUR</v>
      </c>
      <c r="G128" s="11">
        <v>0</v>
      </c>
      <c r="H128" s="11">
        <v>0</v>
      </c>
      <c r="I128" s="1">
        <v>0</v>
      </c>
    </row>
    <row r="129" spans="1:9" ht="24" customHeight="1" x14ac:dyDescent="0.25">
      <c r="A129" s="1" t="str">
        <v>2031-03-24</v>
      </c>
      <c r="B129" s="1" t="str">
        <v>Redemption</v>
      </c>
      <c r="C129" s="12">
        <v>425.85770267428597</v>
      </c>
      <c r="D129" s="11">
        <v>0</v>
      </c>
      <c r="E129" s="13">
        <v>0</v>
      </c>
      <c r="F129" s="1" t="str">
        <v>EUR</v>
      </c>
      <c r="G129" s="11">
        <v>0</v>
      </c>
      <c r="H129" s="11">
        <v>0</v>
      </c>
      <c r="I129" s="1">
        <v>0</v>
      </c>
    </row>
    <row r="130" spans="1:9" ht="24" customHeight="1" x14ac:dyDescent="0.25">
      <c r="A130" s="1" t="str">
        <v>2031-04-24</v>
      </c>
      <c r="B130" s="1" t="str">
        <v>FixedRateCoupon</v>
      </c>
      <c r="C130" s="12">
        <v>1200.9929268814901</v>
      </c>
      <c r="D130" s="11">
        <v>0</v>
      </c>
      <c r="E130" s="13">
        <v>8.611111111111111E-2</v>
      </c>
      <c r="F130" s="1" t="str">
        <v>EUR</v>
      </c>
      <c r="G130" s="11">
        <v>0</v>
      </c>
      <c r="H130" s="11">
        <v>0</v>
      </c>
      <c r="I130" s="1">
        <v>0</v>
      </c>
    </row>
    <row r="131" spans="1:9" ht="24" customHeight="1" x14ac:dyDescent="0.25">
      <c r="A131" s="1" t="str">
        <v>2031-04-24</v>
      </c>
      <c r="B131" s="1" t="str">
        <v>Redemption</v>
      </c>
      <c r="C131" s="12">
        <v>311.61991666379618</v>
      </c>
      <c r="D131" s="11">
        <v>0</v>
      </c>
      <c r="E131" s="13">
        <v>0</v>
      </c>
      <c r="F131" s="1" t="str">
        <v>EUR</v>
      </c>
      <c r="G131" s="11">
        <v>0</v>
      </c>
      <c r="H131" s="11">
        <v>0</v>
      </c>
      <c r="I131" s="1">
        <v>0</v>
      </c>
    </row>
    <row r="132" spans="1:9" ht="24" customHeight="1" x14ac:dyDescent="0.25">
      <c r="A132" s="1" t="str">
        <v>2031-05-24</v>
      </c>
      <c r="B132" s="1" t="str">
        <v>FixedRateCoupon</v>
      </c>
      <c r="C132" s="12">
        <v>1160.6931199794135</v>
      </c>
      <c r="D132" s="11">
        <v>0</v>
      </c>
      <c r="E132" s="13">
        <v>8.3333333333333329E-2</v>
      </c>
      <c r="F132" s="1" t="str">
        <v>EUR</v>
      </c>
      <c r="G132" s="11">
        <v>0</v>
      </c>
      <c r="H132" s="11">
        <v>0</v>
      </c>
      <c r="I132" s="1">
        <v>0</v>
      </c>
    </row>
    <row r="133" spans="1:9" ht="24" customHeight="1" x14ac:dyDescent="0.25">
      <c r="A133" s="1" t="str">
        <v>2031-05-24</v>
      </c>
      <c r="B133" s="1" t="str">
        <v>Redemption</v>
      </c>
      <c r="C133" s="12">
        <v>351.91972356592305</v>
      </c>
      <c r="D133" s="11">
        <v>0</v>
      </c>
      <c r="E133" s="13">
        <v>0</v>
      </c>
      <c r="F133" s="1" t="str">
        <v>EUR</v>
      </c>
      <c r="G133" s="11">
        <v>0</v>
      </c>
      <c r="H133" s="11">
        <v>0</v>
      </c>
      <c r="I133" s="1">
        <v>0</v>
      </c>
    </row>
    <row r="134" spans="1:9" ht="24" customHeight="1" x14ac:dyDescent="0.25">
      <c r="A134" s="1" t="str">
        <v>2031-06-24</v>
      </c>
      <c r="B134" s="1" t="str">
        <v>FixedRateCoupon</v>
      </c>
      <c r="C134" s="12">
        <v>1197.5646387403033</v>
      </c>
      <c r="D134" s="11">
        <v>0</v>
      </c>
      <c r="E134" s="13">
        <v>8.611111111111111E-2</v>
      </c>
      <c r="F134" s="1" t="str">
        <v>EUR</v>
      </c>
      <c r="G134" s="11">
        <v>0</v>
      </c>
      <c r="H134" s="11">
        <v>0</v>
      </c>
      <c r="I134" s="1">
        <v>0</v>
      </c>
    </row>
    <row r="135" spans="1:9" ht="24" customHeight="1" x14ac:dyDescent="0.25">
      <c r="A135" s="1" t="str">
        <v>2031-06-24</v>
      </c>
      <c r="B135" s="1" t="str">
        <v>Redemption</v>
      </c>
      <c r="C135" s="12">
        <v>315.04820480497438</v>
      </c>
      <c r="D135" s="11">
        <v>0</v>
      </c>
      <c r="E135" s="13">
        <v>0</v>
      </c>
      <c r="F135" s="1" t="str">
        <v>EUR</v>
      </c>
      <c r="G135" s="11">
        <v>0</v>
      </c>
      <c r="H135" s="11">
        <v>0</v>
      </c>
      <c r="I135" s="1">
        <v>0</v>
      </c>
    </row>
    <row r="136" spans="1:9" ht="24" customHeight="1" x14ac:dyDescent="0.25">
      <c r="A136" s="1" t="str">
        <v>2031-07-24</v>
      </c>
      <c r="B136" s="1" t="str">
        <v>FixedRateCoupon</v>
      </c>
      <c r="C136" s="12">
        <v>1157.3582803375591</v>
      </c>
      <c r="D136" s="11">
        <v>0</v>
      </c>
      <c r="E136" s="13">
        <v>8.3333333333333329E-2</v>
      </c>
      <c r="F136" s="1" t="str">
        <v>EUR</v>
      </c>
      <c r="G136" s="11">
        <v>0</v>
      </c>
      <c r="H136" s="11">
        <v>0</v>
      </c>
      <c r="I136" s="1">
        <v>0</v>
      </c>
    </row>
    <row r="137" spans="1:9" ht="24" customHeight="1" x14ac:dyDescent="0.25">
      <c r="A137" s="1" t="str">
        <v>2031-07-24</v>
      </c>
      <c r="B137" s="1" t="str">
        <v>Redemption</v>
      </c>
      <c r="C137" s="12">
        <v>355.25456320776721</v>
      </c>
      <c r="D137" s="11">
        <v>0</v>
      </c>
      <c r="E137" s="13">
        <v>0</v>
      </c>
      <c r="F137" s="1" t="str">
        <v>EUR</v>
      </c>
      <c r="G137" s="11">
        <v>0</v>
      </c>
      <c r="H137" s="11">
        <v>0</v>
      </c>
      <c r="I137" s="1">
        <v>0</v>
      </c>
    </row>
    <row r="138" spans="1:9" ht="24" customHeight="1" x14ac:dyDescent="0.25">
      <c r="A138" s="1" t="str">
        <v>2031-08-24</v>
      </c>
      <c r="B138" s="1" t="str">
        <v>FixedRateCoupon</v>
      </c>
      <c r="C138" s="12">
        <v>1194.1014077722375</v>
      </c>
      <c r="D138" s="11">
        <v>0</v>
      </c>
      <c r="E138" s="13">
        <v>8.611111111111111E-2</v>
      </c>
      <c r="F138" s="1" t="str">
        <v>EUR</v>
      </c>
      <c r="G138" s="11">
        <v>0</v>
      </c>
      <c r="H138" s="11">
        <v>0</v>
      </c>
      <c r="I138" s="1">
        <v>0</v>
      </c>
    </row>
    <row r="139" spans="1:9" ht="24" customHeight="1" x14ac:dyDescent="0.25">
      <c r="A139" s="1" t="str">
        <v>2031-08-24</v>
      </c>
      <c r="B139" s="1" t="str">
        <v>Redemption</v>
      </c>
      <c r="C139" s="12">
        <v>318.51143577304902</v>
      </c>
      <c r="D139" s="11">
        <v>0</v>
      </c>
      <c r="E139" s="13">
        <v>0</v>
      </c>
      <c r="F139" s="1" t="str">
        <v>EUR</v>
      </c>
      <c r="G139" s="11">
        <v>0</v>
      </c>
      <c r="H139" s="11">
        <v>0</v>
      </c>
      <c r="I139" s="1">
        <v>0</v>
      </c>
    </row>
    <row r="140" spans="1:9" ht="24" customHeight="1" x14ac:dyDescent="0.25">
      <c r="A140" s="1" t="str">
        <v>2031-09-24</v>
      </c>
      <c r="B140" s="1" t="str">
        <v>FixedRateCoupon</v>
      </c>
      <c r="C140" s="12">
        <v>1192.4557653540767</v>
      </c>
      <c r="D140" s="11">
        <v>0</v>
      </c>
      <c r="E140" s="13">
        <v>8.611111111111111E-2</v>
      </c>
      <c r="F140" s="1" t="str">
        <v>EUR</v>
      </c>
      <c r="G140" s="11">
        <v>0</v>
      </c>
      <c r="H140" s="11">
        <v>0</v>
      </c>
      <c r="I140" s="1">
        <v>0</v>
      </c>
    </row>
    <row r="141" spans="1:9" ht="24" customHeight="1" x14ac:dyDescent="0.25">
      <c r="A141" s="1" t="str">
        <v>2031-09-24</v>
      </c>
      <c r="B141" s="1" t="str">
        <v>Redemption</v>
      </c>
      <c r="C141" s="12">
        <v>320.15707819120144</v>
      </c>
      <c r="D141" s="11">
        <v>0</v>
      </c>
      <c r="E141" s="13">
        <v>0</v>
      </c>
      <c r="F141" s="1" t="str">
        <v>EUR</v>
      </c>
      <c r="G141" s="11">
        <v>0</v>
      </c>
      <c r="H141" s="11">
        <v>0</v>
      </c>
      <c r="I141" s="1">
        <v>0</v>
      </c>
    </row>
    <row r="142" spans="1:9" ht="24" customHeight="1" x14ac:dyDescent="0.25">
      <c r="A142" s="1" t="str">
        <v>2031-10-24</v>
      </c>
      <c r="B142" s="1" t="str">
        <v>FixedRateCoupon</v>
      </c>
      <c r="C142" s="12">
        <v>1152.388664951699</v>
      </c>
      <c r="D142" s="11">
        <v>0</v>
      </c>
      <c r="E142" s="13">
        <v>8.3333333333333329E-2</v>
      </c>
      <c r="F142" s="1" t="str">
        <v>EUR</v>
      </c>
      <c r="G142" s="11">
        <v>0</v>
      </c>
      <c r="H142" s="11">
        <v>0</v>
      </c>
      <c r="I142" s="1">
        <v>0</v>
      </c>
    </row>
    <row r="143" spans="1:9" ht="24" customHeight="1" x14ac:dyDescent="0.25">
      <c r="A143" s="1" t="str">
        <v>2031-10-24</v>
      </c>
      <c r="B143" s="1" t="str">
        <v>Redemption</v>
      </c>
      <c r="C143" s="12">
        <v>360.22417859363486</v>
      </c>
      <c r="D143" s="11">
        <v>0</v>
      </c>
      <c r="E143" s="13">
        <v>0</v>
      </c>
      <c r="F143" s="1" t="str">
        <v>EUR</v>
      </c>
      <c r="G143" s="11">
        <v>0</v>
      </c>
      <c r="H143" s="11">
        <v>0</v>
      </c>
      <c r="I143" s="1">
        <v>0</v>
      </c>
    </row>
    <row r="144" spans="1:9" ht="24" customHeight="1" x14ac:dyDescent="0.25">
      <c r="A144" s="1" t="str">
        <v>2031-11-24</v>
      </c>
      <c r="B144" s="1" t="str">
        <v>FixedRateCoupon</v>
      </c>
      <c r="C144" s="12">
        <v>1188.9404621940218</v>
      </c>
      <c r="D144" s="11">
        <v>0</v>
      </c>
      <c r="E144" s="13">
        <v>8.611111111111111E-2</v>
      </c>
      <c r="F144" s="1" t="str">
        <v>EUR</v>
      </c>
      <c r="G144" s="11">
        <v>0</v>
      </c>
      <c r="H144" s="11">
        <v>0</v>
      </c>
      <c r="I144" s="1">
        <v>0</v>
      </c>
    </row>
    <row r="145" spans="1:9" ht="24" customHeight="1" x14ac:dyDescent="0.25">
      <c r="A145" s="1" t="str">
        <v>2031-11-24</v>
      </c>
      <c r="B145" s="1" t="str">
        <v>Redemption</v>
      </c>
      <c r="C145" s="12">
        <v>323.67238135126536</v>
      </c>
      <c r="D145" s="11">
        <v>0</v>
      </c>
      <c r="E145" s="13">
        <v>0</v>
      </c>
      <c r="F145" s="1" t="str">
        <v>EUR</v>
      </c>
      <c r="G145" s="11">
        <v>0</v>
      </c>
      <c r="H145" s="11">
        <v>0</v>
      </c>
      <c r="I145" s="1">
        <v>0</v>
      </c>
    </row>
    <row r="146" spans="1:9" ht="24" customHeight="1" x14ac:dyDescent="0.25">
      <c r="A146" s="1" t="str">
        <v>2031-12-24</v>
      </c>
      <c r="B146" s="1" t="str">
        <v>FixedRateCoupon</v>
      </c>
      <c r="C146" s="12">
        <v>1148.9691821519743</v>
      </c>
      <c r="D146" s="11">
        <v>0</v>
      </c>
      <c r="E146" s="13">
        <v>8.3333333333333329E-2</v>
      </c>
      <c r="F146" s="1" t="str">
        <v>EUR</v>
      </c>
      <c r="G146" s="11">
        <v>0</v>
      </c>
      <c r="H146" s="11">
        <v>0</v>
      </c>
      <c r="I146" s="1">
        <v>0</v>
      </c>
    </row>
    <row r="147" spans="1:9" ht="24" customHeight="1" x14ac:dyDescent="0.25">
      <c r="A147" s="1" t="str">
        <v>2031-12-24</v>
      </c>
      <c r="B147" s="1" t="str">
        <v>Redemption</v>
      </c>
      <c r="C147" s="12">
        <v>363.64366139334743</v>
      </c>
      <c r="D147" s="11">
        <v>0</v>
      </c>
      <c r="E147" s="13">
        <v>0</v>
      </c>
      <c r="F147" s="1" t="str">
        <v>EUR</v>
      </c>
      <c r="G147" s="11">
        <v>0</v>
      </c>
      <c r="H147" s="11">
        <v>0</v>
      </c>
      <c r="I147" s="1">
        <v>0</v>
      </c>
    </row>
    <row r="148" spans="1:9" ht="24" customHeight="1" x14ac:dyDescent="0.25">
      <c r="A148" s="1" t="str">
        <v>2032-01-24</v>
      </c>
      <c r="B148" s="1" t="str">
        <v>FixedRateCoupon</v>
      </c>
      <c r="C148" s="12">
        <v>1185.389329306508</v>
      </c>
      <c r="D148" s="11">
        <v>0</v>
      </c>
      <c r="E148" s="13">
        <v>8.611111111111111E-2</v>
      </c>
      <c r="F148" s="1" t="str">
        <v>EUR</v>
      </c>
      <c r="G148" s="11">
        <v>0</v>
      </c>
      <c r="H148" s="11">
        <v>0</v>
      </c>
      <c r="I148" s="1">
        <v>0</v>
      </c>
    </row>
    <row r="149" spans="1:9" ht="24" customHeight="1" x14ac:dyDescent="0.25">
      <c r="A149" s="1" t="str">
        <v>2032-01-24</v>
      </c>
      <c r="B149" s="1" t="str">
        <v>Redemption</v>
      </c>
      <c r="C149" s="12">
        <v>327.2235142387799</v>
      </c>
      <c r="D149" s="11">
        <v>0</v>
      </c>
      <c r="E149" s="13">
        <v>0</v>
      </c>
      <c r="F149" s="1" t="str">
        <v>EUR</v>
      </c>
      <c r="G149" s="11">
        <v>0</v>
      </c>
      <c r="H149" s="11">
        <v>0</v>
      </c>
      <c r="I149" s="1">
        <v>0</v>
      </c>
    </row>
    <row r="150" spans="1:9" ht="24" customHeight="1" x14ac:dyDescent="0.25">
      <c r="A150" s="1" t="str">
        <v>2032-02-24</v>
      </c>
      <c r="B150" s="1" t="str">
        <v>FixedRateCoupon</v>
      </c>
      <c r="C150" s="12">
        <v>1183.698674482941</v>
      </c>
      <c r="D150" s="11">
        <v>0</v>
      </c>
      <c r="E150" s="13">
        <v>8.611111111111111E-2</v>
      </c>
      <c r="F150" s="1" t="str">
        <v>EUR</v>
      </c>
      <c r="G150" s="11">
        <v>0</v>
      </c>
      <c r="H150" s="11">
        <v>0</v>
      </c>
      <c r="I150" s="1">
        <v>0</v>
      </c>
    </row>
    <row r="151" spans="1:9" ht="24" customHeight="1" x14ac:dyDescent="0.25">
      <c r="A151" s="1" t="str">
        <v>2032-02-24</v>
      </c>
      <c r="B151" s="1" t="str">
        <v>Redemption</v>
      </c>
      <c r="C151" s="12">
        <v>328.91416906233644</v>
      </c>
      <c r="D151" s="11">
        <v>0</v>
      </c>
      <c r="E151" s="13">
        <v>0</v>
      </c>
      <c r="F151" s="1" t="str">
        <v>EUR</v>
      </c>
      <c r="G151" s="11">
        <v>0</v>
      </c>
      <c r="H151" s="11">
        <v>0</v>
      </c>
      <c r="I151" s="1">
        <v>0</v>
      </c>
    </row>
    <row r="152" spans="1:9" ht="24" customHeight="1" x14ac:dyDescent="0.25">
      <c r="A152" s="1" t="str">
        <v>2032-03-24</v>
      </c>
      <c r="B152" s="1" t="str">
        <v>FixedRateCoupon</v>
      </c>
      <c r="C152" s="12">
        <v>1105.7412662475522</v>
      </c>
      <c r="D152" s="11">
        <v>0</v>
      </c>
      <c r="E152" s="13">
        <v>8.0555555555555561E-2</v>
      </c>
      <c r="F152" s="1" t="str">
        <v>EUR</v>
      </c>
      <c r="G152" s="11">
        <v>0</v>
      </c>
      <c r="H152" s="11">
        <v>0</v>
      </c>
      <c r="I152" s="1">
        <v>0</v>
      </c>
    </row>
    <row r="153" spans="1:9" ht="24" customHeight="1" x14ac:dyDescent="0.25">
      <c r="A153" s="1" t="str">
        <v>2032-03-24</v>
      </c>
      <c r="B153" s="1" t="str">
        <v>Redemption</v>
      </c>
      <c r="C153" s="12">
        <v>406.87157729777391</v>
      </c>
      <c r="D153" s="11">
        <v>0</v>
      </c>
      <c r="E153" s="13">
        <v>0</v>
      </c>
      <c r="F153" s="1" t="str">
        <v>EUR</v>
      </c>
      <c r="G153" s="11">
        <v>0</v>
      </c>
      <c r="H153" s="11">
        <v>0</v>
      </c>
      <c r="I153" s="1">
        <v>0</v>
      </c>
    </row>
    <row r="154" spans="1:9" ht="24" customHeight="1" x14ac:dyDescent="0.25">
      <c r="A154" s="1" t="str">
        <v>2032-04-24</v>
      </c>
      <c r="B154" s="1" t="str">
        <v>FixedRateCoupon</v>
      </c>
      <c r="C154" s="12">
        <v>1179.8971147934137</v>
      </c>
      <c r="D154" s="11">
        <v>0</v>
      </c>
      <c r="E154" s="13">
        <v>8.611111111111111E-2</v>
      </c>
      <c r="F154" s="1" t="str">
        <v>EUR</v>
      </c>
      <c r="G154" s="11">
        <v>0</v>
      </c>
      <c r="H154" s="11">
        <v>0</v>
      </c>
      <c r="I154" s="1">
        <v>0</v>
      </c>
    </row>
    <row r="155" spans="1:9" ht="24" customHeight="1" x14ac:dyDescent="0.25">
      <c r="A155" s="1" t="str">
        <v>2032-04-24</v>
      </c>
      <c r="B155" s="1" t="str">
        <v>Redemption</v>
      </c>
      <c r="C155" s="12">
        <v>332.71572875187849</v>
      </c>
      <c r="D155" s="11">
        <v>0</v>
      </c>
      <c r="E155" s="13">
        <v>0</v>
      </c>
      <c r="F155" s="1" t="str">
        <v>EUR</v>
      </c>
      <c r="G155" s="11">
        <v>0</v>
      </c>
      <c r="H155" s="11">
        <v>0</v>
      </c>
      <c r="I155" s="1">
        <v>0</v>
      </c>
    </row>
    <row r="156" spans="1:9" ht="24" customHeight="1" x14ac:dyDescent="0.25">
      <c r="A156" s="1" t="str">
        <v>2032-05-24</v>
      </c>
      <c r="B156" s="1" t="str">
        <v>FixedRateCoupon</v>
      </c>
      <c r="C156" s="12">
        <v>1140.1723388982537</v>
      </c>
      <c r="D156" s="11">
        <v>0</v>
      </c>
      <c r="E156" s="13">
        <v>8.3333333333333329E-2</v>
      </c>
      <c r="F156" s="1" t="str">
        <v>EUR</v>
      </c>
      <c r="G156" s="11">
        <v>0</v>
      </c>
      <c r="H156" s="11">
        <v>0</v>
      </c>
      <c r="I156" s="1">
        <v>0</v>
      </c>
    </row>
    <row r="157" spans="1:9" ht="24" customHeight="1" x14ac:dyDescent="0.25">
      <c r="A157" s="1" t="str">
        <v>2032-05-24</v>
      </c>
      <c r="B157" s="1" t="str">
        <v>Redemption</v>
      </c>
      <c r="C157" s="12">
        <v>372.44050464706379</v>
      </c>
      <c r="D157" s="11">
        <v>0</v>
      </c>
      <c r="E157" s="13">
        <v>0</v>
      </c>
      <c r="F157" s="1" t="str">
        <v>EUR</v>
      </c>
      <c r="G157" s="11">
        <v>0</v>
      </c>
      <c r="H157" s="11">
        <v>0</v>
      </c>
      <c r="I157" s="1">
        <v>0</v>
      </c>
    </row>
    <row r="158" spans="1:9" ht="24" customHeight="1" x14ac:dyDescent="0.25">
      <c r="A158" s="1" t="str">
        <v>2032-06-24</v>
      </c>
      <c r="B158" s="1" t="str">
        <v>FixedRateCoupon</v>
      </c>
      <c r="C158" s="12">
        <v>1176.2538075875191</v>
      </c>
      <c r="D158" s="11">
        <v>0</v>
      </c>
      <c r="E158" s="13">
        <v>8.611111111111111E-2</v>
      </c>
      <c r="F158" s="1" t="str">
        <v>EUR</v>
      </c>
      <c r="G158" s="11">
        <v>0</v>
      </c>
      <c r="H158" s="11">
        <v>0</v>
      </c>
      <c r="I158" s="1">
        <v>0</v>
      </c>
    </row>
    <row r="159" spans="1:9" ht="24" customHeight="1" x14ac:dyDescent="0.25">
      <c r="A159" s="1" t="str">
        <v>2032-06-24</v>
      </c>
      <c r="B159" s="1" t="str">
        <v>Redemption</v>
      </c>
      <c r="C159" s="12">
        <v>336.35903595777927</v>
      </c>
      <c r="D159" s="11">
        <v>0</v>
      </c>
      <c r="E159" s="13">
        <v>0</v>
      </c>
      <c r="F159" s="1" t="str">
        <v>EUR</v>
      </c>
      <c r="G159" s="11">
        <v>0</v>
      </c>
      <c r="H159" s="11">
        <v>0</v>
      </c>
      <c r="I159" s="1">
        <v>0</v>
      </c>
    </row>
    <row r="160" spans="1:9" ht="24" customHeight="1" x14ac:dyDescent="0.25">
      <c r="A160" s="1" t="str">
        <v>2032-07-24</v>
      </c>
      <c r="B160" s="1" t="str">
        <v>FixedRateCoupon</v>
      </c>
      <c r="C160" s="12">
        <v>1136.6283411952297</v>
      </c>
      <c r="D160" s="11">
        <v>0</v>
      </c>
      <c r="E160" s="13">
        <v>8.3333333333333329E-2</v>
      </c>
      <c r="F160" s="1" t="str">
        <v>EUR</v>
      </c>
      <c r="G160" s="11">
        <v>0</v>
      </c>
      <c r="H160" s="11">
        <v>0</v>
      </c>
      <c r="I160" s="1">
        <v>0</v>
      </c>
    </row>
    <row r="161" spans="1:9" ht="24" customHeight="1" x14ac:dyDescent="0.25">
      <c r="A161" s="1" t="str">
        <v>2032-07-24</v>
      </c>
      <c r="B161" s="1" t="str">
        <v>Redemption</v>
      </c>
      <c r="C161" s="12">
        <v>375.98450235009659</v>
      </c>
      <c r="D161" s="11">
        <v>0</v>
      </c>
      <c r="E161" s="13">
        <v>0</v>
      </c>
      <c r="F161" s="1" t="str">
        <v>EUR</v>
      </c>
      <c r="G161" s="11">
        <v>0</v>
      </c>
      <c r="H161" s="11">
        <v>0</v>
      </c>
      <c r="I161" s="1">
        <v>0</v>
      </c>
    </row>
    <row r="162" spans="1:9" ht="24" customHeight="1" x14ac:dyDescent="0.25">
      <c r="A162" s="1" t="str">
        <v>2032-08-24</v>
      </c>
      <c r="B162" s="1" t="str">
        <v>FixedRateCoupon</v>
      </c>
      <c r="C162" s="12">
        <v>1172.5733659729283</v>
      </c>
      <c r="D162" s="11">
        <v>0</v>
      </c>
      <c r="E162" s="13">
        <v>8.611111111111111E-2</v>
      </c>
      <c r="F162" s="1" t="str">
        <v>EUR</v>
      </c>
      <c r="G162" s="11">
        <v>0</v>
      </c>
      <c r="H162" s="11">
        <v>0</v>
      </c>
      <c r="I162" s="1">
        <v>0</v>
      </c>
    </row>
    <row r="163" spans="1:9" ht="24" customHeight="1" x14ac:dyDescent="0.25">
      <c r="A163" s="1" t="str">
        <v>2032-08-24</v>
      </c>
      <c r="B163" s="1" t="str">
        <v>Redemption</v>
      </c>
      <c r="C163" s="12">
        <v>340.03947757236892</v>
      </c>
      <c r="D163" s="11">
        <v>0</v>
      </c>
      <c r="E163" s="13">
        <v>0</v>
      </c>
      <c r="F163" s="1" t="str">
        <v>EUR</v>
      </c>
      <c r="G163" s="11">
        <v>0</v>
      </c>
      <c r="H163" s="11">
        <v>0</v>
      </c>
      <c r="I163" s="1">
        <v>0</v>
      </c>
    </row>
    <row r="164" spans="1:9" ht="24" customHeight="1" x14ac:dyDescent="0.25">
      <c r="A164" s="1" t="str">
        <v>2032-09-24</v>
      </c>
      <c r="B164" s="1" t="str">
        <v>FixedRateCoupon</v>
      </c>
      <c r="C164" s="12">
        <v>1170.8164953388045</v>
      </c>
      <c r="D164" s="11">
        <v>0</v>
      </c>
      <c r="E164" s="13">
        <v>8.611111111111111E-2</v>
      </c>
      <c r="F164" s="1" t="str">
        <v>EUR</v>
      </c>
      <c r="G164" s="11">
        <v>0</v>
      </c>
      <c r="H164" s="11">
        <v>0</v>
      </c>
      <c r="I164" s="1">
        <v>0</v>
      </c>
    </row>
    <row r="165" spans="1:9" ht="24" customHeight="1" x14ac:dyDescent="0.25">
      <c r="A165" s="1" t="str">
        <v>2032-09-24</v>
      </c>
      <c r="B165" s="1" t="str">
        <v>Redemption</v>
      </c>
      <c r="C165" s="12">
        <v>341.79634820646606</v>
      </c>
      <c r="D165" s="11">
        <v>0</v>
      </c>
      <c r="E165" s="13">
        <v>0</v>
      </c>
      <c r="F165" s="1" t="str">
        <v>EUR</v>
      </c>
      <c r="G165" s="11">
        <v>0</v>
      </c>
      <c r="H165" s="11">
        <v>0</v>
      </c>
      <c r="I165" s="1">
        <v>0</v>
      </c>
    </row>
    <row r="166" spans="1:9" ht="24" customHeight="1" x14ac:dyDescent="0.25">
      <c r="A166" s="1" t="str">
        <v>2032-10-24</v>
      </c>
      <c r="B166" s="1" t="str">
        <v>FixedRateCoupon</v>
      </c>
      <c r="C166" s="12">
        <v>1131.339239554585</v>
      </c>
      <c r="D166" s="11">
        <v>0</v>
      </c>
      <c r="E166" s="13">
        <v>8.3333333333333329E-2</v>
      </c>
      <c r="F166" s="1" t="str">
        <v>EUR</v>
      </c>
      <c r="G166" s="11">
        <v>0</v>
      </c>
      <c r="H166" s="11">
        <v>0</v>
      </c>
      <c r="I166" s="1">
        <v>0</v>
      </c>
    </row>
    <row r="167" spans="1:9" ht="24" customHeight="1" x14ac:dyDescent="0.25">
      <c r="A167" s="1" t="str">
        <v>2032-10-24</v>
      </c>
      <c r="B167" s="1" t="str">
        <v>Redemption</v>
      </c>
      <c r="C167" s="12">
        <v>381.27360399073223</v>
      </c>
      <c r="D167" s="11">
        <v>0</v>
      </c>
      <c r="E167" s="13">
        <v>0</v>
      </c>
      <c r="F167" s="1" t="str">
        <v>EUR</v>
      </c>
      <c r="G167" s="11">
        <v>0</v>
      </c>
      <c r="H167" s="11">
        <v>0</v>
      </c>
      <c r="I167" s="1">
        <v>0</v>
      </c>
    </row>
    <row r="168" spans="1:9" ht="24" customHeight="1" x14ac:dyDescent="0.25">
      <c r="A168" s="1" t="str">
        <v>2032-11-24</v>
      </c>
      <c r="B168" s="1" t="str">
        <v>FixedRateCoupon</v>
      </c>
      <c r="C168" s="12">
        <v>1167.0806339191192</v>
      </c>
      <c r="D168" s="11">
        <v>0</v>
      </c>
      <c r="E168" s="13">
        <v>8.611111111111111E-2</v>
      </c>
      <c r="F168" s="1" t="str">
        <v>EUR</v>
      </c>
      <c r="G168" s="11">
        <v>0</v>
      </c>
      <c r="H168" s="11">
        <v>0</v>
      </c>
      <c r="I168" s="1">
        <v>0</v>
      </c>
    </row>
    <row r="169" spans="1:9" ht="24" customHeight="1" x14ac:dyDescent="0.25">
      <c r="A169" s="1" t="str">
        <v>2032-11-24</v>
      </c>
      <c r="B169" s="1" t="str">
        <v>Redemption</v>
      </c>
      <c r="C169" s="12">
        <v>345.53220962616615</v>
      </c>
      <c r="D169" s="11">
        <v>0</v>
      </c>
      <c r="E169" s="13">
        <v>0</v>
      </c>
      <c r="F169" s="1" t="str">
        <v>EUR</v>
      </c>
      <c r="G169" s="11">
        <v>0</v>
      </c>
      <c r="H169" s="11">
        <v>0</v>
      </c>
      <c r="I169" s="1">
        <v>0</v>
      </c>
    </row>
    <row r="170" spans="1:9" ht="24" customHeight="1" x14ac:dyDescent="0.25">
      <c r="A170" s="1" t="str">
        <v>2032-12-24</v>
      </c>
      <c r="B170" s="1" t="str">
        <v>FixedRateCoupon</v>
      </c>
      <c r="C170" s="12">
        <v>1127.7052104865006</v>
      </c>
      <c r="D170" s="11">
        <v>0</v>
      </c>
      <c r="E170" s="13">
        <v>8.3333333333333329E-2</v>
      </c>
      <c r="F170" s="1" t="str">
        <v>EUR</v>
      </c>
      <c r="G170" s="11">
        <v>0</v>
      </c>
      <c r="H170" s="11">
        <v>0</v>
      </c>
      <c r="I170" s="1">
        <v>0</v>
      </c>
    </row>
    <row r="171" spans="1:9" ht="24" customHeight="1" x14ac:dyDescent="0.25">
      <c r="A171" s="1" t="str">
        <v>2032-12-24</v>
      </c>
      <c r="B171" s="1" t="str">
        <v>Redemption</v>
      </c>
      <c r="C171" s="12">
        <v>384.9076330588432</v>
      </c>
      <c r="D171" s="11">
        <v>0</v>
      </c>
      <c r="E171" s="13">
        <v>0</v>
      </c>
      <c r="F171" s="1" t="str">
        <v>EUR</v>
      </c>
      <c r="G171" s="11">
        <v>0</v>
      </c>
      <c r="H171" s="11">
        <v>0</v>
      </c>
      <c r="I171" s="1">
        <v>0</v>
      </c>
    </row>
    <row r="172" spans="1:9" ht="24" customHeight="1" x14ac:dyDescent="0.25">
      <c r="A172" s="1" t="str">
        <v>2033-01-24</v>
      </c>
      <c r="B172" s="1" t="str">
        <v>FixedRateCoupon</v>
      </c>
      <c r="C172" s="12">
        <v>1163.306694731913</v>
      </c>
      <c r="D172" s="11">
        <v>0</v>
      </c>
      <c r="E172" s="13">
        <v>8.611111111111111E-2</v>
      </c>
      <c r="F172" s="1" t="str">
        <v>EUR</v>
      </c>
      <c r="G172" s="11">
        <v>0</v>
      </c>
      <c r="H172" s="11">
        <v>0</v>
      </c>
      <c r="I172" s="1">
        <v>0</v>
      </c>
    </row>
    <row r="173" spans="1:9" ht="24" customHeight="1" x14ac:dyDescent="0.25">
      <c r="A173" s="1" t="str">
        <v>2033-01-24</v>
      </c>
      <c r="B173" s="1" t="str">
        <v>Redemption</v>
      </c>
      <c r="C173" s="12">
        <v>349.30614881336805</v>
      </c>
      <c r="D173" s="11">
        <v>0</v>
      </c>
      <c r="E173" s="13">
        <v>0</v>
      </c>
      <c r="F173" s="1" t="str">
        <v>EUR</v>
      </c>
      <c r="G173" s="11">
        <v>0</v>
      </c>
      <c r="H173" s="11">
        <v>0</v>
      </c>
      <c r="I173" s="1">
        <v>0</v>
      </c>
    </row>
    <row r="174" spans="1:9" ht="24" customHeight="1" x14ac:dyDescent="0.25">
      <c r="A174" s="1" t="str">
        <v>2033-02-24</v>
      </c>
      <c r="B174" s="1" t="str">
        <v>FixedRateCoupon</v>
      </c>
      <c r="C174" s="12">
        <v>1161.5019462963774</v>
      </c>
      <c r="D174" s="11">
        <v>0</v>
      </c>
      <c r="E174" s="13">
        <v>8.611111111111111E-2</v>
      </c>
      <c r="F174" s="1" t="str">
        <v>EUR</v>
      </c>
      <c r="G174" s="11">
        <v>0</v>
      </c>
      <c r="H174" s="11">
        <v>0</v>
      </c>
      <c r="I174" s="1">
        <v>0</v>
      </c>
    </row>
    <row r="175" spans="1:9" ht="24" customHeight="1" x14ac:dyDescent="0.25">
      <c r="A175" s="1" t="str">
        <v>2033-02-24</v>
      </c>
      <c r="B175" s="1" t="str">
        <v>Redemption</v>
      </c>
      <c r="C175" s="12">
        <v>351.11089724890189</v>
      </c>
      <c r="D175" s="11">
        <v>0</v>
      </c>
      <c r="E175" s="13">
        <v>0</v>
      </c>
      <c r="F175" s="1" t="str">
        <v>EUR</v>
      </c>
      <c r="G175" s="11">
        <v>0</v>
      </c>
      <c r="H175" s="11">
        <v>0</v>
      </c>
      <c r="I175" s="1">
        <v>0</v>
      </c>
    </row>
    <row r="176" spans="1:9" ht="24" customHeight="1" x14ac:dyDescent="0.25">
      <c r="A176" s="1" t="str">
        <v>2033-03-24</v>
      </c>
      <c r="B176" s="1" t="str">
        <v>FixedRateCoupon</v>
      </c>
      <c r="C176" s="12">
        <v>1047.4600146181685</v>
      </c>
      <c r="D176" s="11">
        <v>0</v>
      </c>
      <c r="E176" s="13">
        <v>7.7777777777777779E-2</v>
      </c>
      <c r="F176" s="1" t="str">
        <v>EUR</v>
      </c>
      <c r="G176" s="11">
        <v>0</v>
      </c>
      <c r="H176" s="11">
        <v>0</v>
      </c>
      <c r="I176" s="1">
        <v>0</v>
      </c>
    </row>
    <row r="177" spans="1:9" ht="24" customHeight="1" x14ac:dyDescent="0.25">
      <c r="A177" s="1" t="str">
        <v>2033-03-24</v>
      </c>
      <c r="B177" s="1" t="str">
        <v>Redemption</v>
      </c>
      <c r="C177" s="12">
        <v>465.15282892715186</v>
      </c>
      <c r="D177" s="11">
        <v>0</v>
      </c>
      <c r="E177" s="13">
        <v>0</v>
      </c>
      <c r="F177" s="1" t="str">
        <v>EUR</v>
      </c>
      <c r="G177" s="11">
        <v>0</v>
      </c>
      <c r="H177" s="11">
        <v>0</v>
      </c>
      <c r="I177" s="1">
        <v>0</v>
      </c>
    </row>
    <row r="178" spans="1:9" ht="24" customHeight="1" x14ac:dyDescent="0.25">
      <c r="A178" s="1" t="str">
        <v>2033-04-24</v>
      </c>
      <c r="B178" s="1" t="str">
        <v>FixedRateCoupon</v>
      </c>
      <c r="C178" s="12">
        <v>1157.2845837111345</v>
      </c>
      <c r="D178" s="11">
        <v>0</v>
      </c>
      <c r="E178" s="13">
        <v>8.611111111111111E-2</v>
      </c>
      <c r="F178" s="1" t="str">
        <v>EUR</v>
      </c>
      <c r="G178" s="11">
        <v>0</v>
      </c>
      <c r="H178" s="11">
        <v>0</v>
      </c>
      <c r="I178" s="1">
        <v>0</v>
      </c>
    </row>
    <row r="179" spans="1:9" ht="24" customHeight="1" x14ac:dyDescent="0.25">
      <c r="A179" s="1" t="str">
        <v>2033-04-24</v>
      </c>
      <c r="B179" s="1" t="str">
        <v>Redemption</v>
      </c>
      <c r="C179" s="12">
        <v>355.32825983414659</v>
      </c>
      <c r="D179" s="11">
        <v>0</v>
      </c>
      <c r="E179" s="13">
        <v>0</v>
      </c>
      <c r="F179" s="1" t="str">
        <v>EUR</v>
      </c>
      <c r="G179" s="11">
        <v>0</v>
      </c>
      <c r="H179" s="11">
        <v>0</v>
      </c>
      <c r="I179" s="1">
        <v>0</v>
      </c>
    </row>
    <row r="180" spans="1:9" ht="24" customHeight="1" x14ac:dyDescent="0.25">
      <c r="A180" s="1" t="str">
        <v>2033-05-24</v>
      </c>
      <c r="B180" s="1" t="str">
        <v>FixedRateCoupon</v>
      </c>
      <c r="C180" s="12">
        <v>1118.1761816470885</v>
      </c>
      <c r="D180" s="11">
        <v>0</v>
      </c>
      <c r="E180" s="13">
        <v>8.3333333333333329E-2</v>
      </c>
      <c r="F180" s="1" t="str">
        <v>EUR</v>
      </c>
      <c r="G180" s="11">
        <v>0</v>
      </c>
      <c r="H180" s="11">
        <v>0</v>
      </c>
      <c r="I180" s="1">
        <v>0</v>
      </c>
    </row>
    <row r="181" spans="1:9" ht="24" customHeight="1" x14ac:dyDescent="0.25">
      <c r="A181" s="1" t="str">
        <v>2033-05-24</v>
      </c>
      <c r="B181" s="1" t="str">
        <v>Redemption</v>
      </c>
      <c r="C181" s="12">
        <v>394.4366618982458</v>
      </c>
      <c r="D181" s="11">
        <v>0</v>
      </c>
      <c r="E181" s="13">
        <v>0</v>
      </c>
      <c r="F181" s="1" t="str">
        <v>EUR</v>
      </c>
      <c r="G181" s="11">
        <v>0</v>
      </c>
      <c r="H181" s="11">
        <v>0</v>
      </c>
      <c r="I181" s="1">
        <v>0</v>
      </c>
    </row>
    <row r="182" spans="1:9" ht="24" customHeight="1" x14ac:dyDescent="0.25">
      <c r="A182" s="1" t="str">
        <v>2033-06-24</v>
      </c>
      <c r="B182" s="1" t="str">
        <v>FixedRateCoupon</v>
      </c>
      <c r="C182" s="12">
        <v>1153.4107982821838</v>
      </c>
      <c r="D182" s="11">
        <v>0</v>
      </c>
      <c r="E182" s="13">
        <v>8.611111111111111E-2</v>
      </c>
      <c r="F182" s="1" t="str">
        <v>EUR</v>
      </c>
      <c r="G182" s="11">
        <v>0</v>
      </c>
      <c r="H182" s="11">
        <v>0</v>
      </c>
      <c r="I182" s="1">
        <v>0</v>
      </c>
    </row>
    <row r="183" spans="1:9" ht="24" customHeight="1" x14ac:dyDescent="0.25">
      <c r="A183" s="1" t="str">
        <v>2033-06-24</v>
      </c>
      <c r="B183" s="1" t="str">
        <v>Redemption</v>
      </c>
      <c r="C183" s="12">
        <v>359.20204526311136</v>
      </c>
      <c r="D183" s="11">
        <v>0</v>
      </c>
      <c r="E183" s="13">
        <v>0</v>
      </c>
      <c r="F183" s="1" t="str">
        <v>EUR</v>
      </c>
      <c r="G183" s="11">
        <v>0</v>
      </c>
      <c r="H183" s="11">
        <v>0</v>
      </c>
      <c r="I183" s="1">
        <v>0</v>
      </c>
    </row>
    <row r="184" spans="1:9" ht="24" customHeight="1" x14ac:dyDescent="0.25">
      <c r="A184" s="1" t="str">
        <v>2033-07-24</v>
      </c>
      <c r="B184" s="1" t="str">
        <v>FixedRateCoupon</v>
      </c>
      <c r="C184" s="12">
        <v>1114.4079881112816</v>
      </c>
      <c r="D184" s="11">
        <v>0</v>
      </c>
      <c r="E184" s="13">
        <v>8.3333333333333329E-2</v>
      </c>
      <c r="F184" s="1" t="str">
        <v>EUR</v>
      </c>
      <c r="G184" s="11">
        <v>0</v>
      </c>
      <c r="H184" s="11">
        <v>0</v>
      </c>
      <c r="I184" s="1">
        <v>0</v>
      </c>
    </row>
    <row r="185" spans="1:9" ht="24" customHeight="1" x14ac:dyDescent="0.25">
      <c r="A185" s="1" t="str">
        <v>2033-07-24</v>
      </c>
      <c r="B185" s="1" t="str">
        <v>Redemption</v>
      </c>
      <c r="C185" s="12">
        <v>398.20485543404357</v>
      </c>
      <c r="D185" s="11">
        <v>0</v>
      </c>
      <c r="E185" s="13">
        <v>0</v>
      </c>
      <c r="F185" s="1" t="str">
        <v>EUR</v>
      </c>
      <c r="G185" s="11">
        <v>0</v>
      </c>
      <c r="H185" s="11">
        <v>0</v>
      </c>
      <c r="I185" s="1">
        <v>0</v>
      </c>
    </row>
    <row r="186" spans="1:9" ht="24" customHeight="1" x14ac:dyDescent="0.25">
      <c r="A186" s="1" t="str">
        <v>2033-08-24</v>
      </c>
      <c r="B186" s="1" t="str">
        <v>FixedRateCoupon</v>
      </c>
      <c r="C186" s="12">
        <v>1149.4975292952483</v>
      </c>
      <c r="D186" s="11">
        <v>0</v>
      </c>
      <c r="E186" s="13">
        <v>8.611111111111111E-2</v>
      </c>
      <c r="F186" s="1" t="str">
        <v>EUR</v>
      </c>
      <c r="G186" s="11">
        <v>0</v>
      </c>
      <c r="H186" s="11">
        <v>0</v>
      </c>
      <c r="I186" s="1">
        <v>0</v>
      </c>
    </row>
    <row r="187" spans="1:9" ht="24" customHeight="1" x14ac:dyDescent="0.25">
      <c r="A187" s="1" t="str">
        <v>2033-08-24</v>
      </c>
      <c r="B187" s="1" t="str">
        <v>Redemption</v>
      </c>
      <c r="C187" s="12">
        <v>363.11531425002613</v>
      </c>
      <c r="D187" s="11">
        <v>0</v>
      </c>
      <c r="E187" s="13">
        <v>0</v>
      </c>
      <c r="F187" s="1" t="str">
        <v>EUR</v>
      </c>
      <c r="G187" s="11">
        <v>0</v>
      </c>
      <c r="H187" s="11">
        <v>0</v>
      </c>
      <c r="I187" s="1">
        <v>0</v>
      </c>
    </row>
    <row r="188" spans="1:9" ht="24" customHeight="1" x14ac:dyDescent="0.25">
      <c r="A188" s="1" t="str">
        <v>2033-09-24</v>
      </c>
      <c r="B188" s="1" t="str">
        <v>FixedRateCoupon</v>
      </c>
      <c r="C188" s="12">
        <v>1147.6214335049567</v>
      </c>
      <c r="D188" s="11">
        <v>0</v>
      </c>
      <c r="E188" s="13">
        <v>8.611111111111111E-2</v>
      </c>
      <c r="F188" s="1" t="str">
        <v>EUR</v>
      </c>
      <c r="G188" s="11">
        <v>0</v>
      </c>
      <c r="H188" s="11">
        <v>0</v>
      </c>
      <c r="I188" s="1">
        <v>0</v>
      </c>
    </row>
    <row r="189" spans="1:9" ht="24" customHeight="1" x14ac:dyDescent="0.25">
      <c r="A189" s="1" t="str">
        <v>2033-09-24</v>
      </c>
      <c r="B189" s="1" t="str">
        <v>Redemption</v>
      </c>
      <c r="C189" s="12">
        <v>364.99141004032572</v>
      </c>
      <c r="D189" s="11">
        <v>0</v>
      </c>
      <c r="E189" s="13">
        <v>0</v>
      </c>
      <c r="F189" s="1" t="str">
        <v>EUR</v>
      </c>
      <c r="G189" s="11">
        <v>0</v>
      </c>
      <c r="H189" s="11">
        <v>0</v>
      </c>
      <c r="I189" s="1">
        <v>0</v>
      </c>
    </row>
    <row r="190" spans="1:9" ht="24" customHeight="1" x14ac:dyDescent="0.25">
      <c r="A190" s="1" t="str">
        <v>2033-10-24</v>
      </c>
      <c r="B190" s="1" t="str">
        <v>FixedRateCoupon</v>
      </c>
      <c r="C190" s="12">
        <v>1108.7764302126595</v>
      </c>
      <c r="D190" s="11">
        <v>0</v>
      </c>
      <c r="E190" s="13">
        <v>8.3333333333333329E-2</v>
      </c>
      <c r="F190" s="1" t="str">
        <v>EUR</v>
      </c>
      <c r="G190" s="11">
        <v>0</v>
      </c>
      <c r="H190" s="11">
        <v>0</v>
      </c>
      <c r="I190" s="1">
        <v>0</v>
      </c>
    </row>
    <row r="191" spans="1:9" ht="24" customHeight="1" x14ac:dyDescent="0.25">
      <c r="A191" s="1" t="str">
        <v>2033-10-24</v>
      </c>
      <c r="B191" s="1" t="str">
        <v>Redemption</v>
      </c>
      <c r="C191" s="12">
        <v>403.8364133326686</v>
      </c>
      <c r="D191" s="11">
        <v>0</v>
      </c>
      <c r="E191" s="13">
        <v>0</v>
      </c>
      <c r="F191" s="1" t="str">
        <v>EUR</v>
      </c>
      <c r="G191" s="11">
        <v>0</v>
      </c>
      <c r="H191" s="11">
        <v>0</v>
      </c>
      <c r="I191" s="1">
        <v>0</v>
      </c>
    </row>
    <row r="192" spans="1:9" ht="24" customHeight="1" x14ac:dyDescent="0.25">
      <c r="A192" s="1" t="str">
        <v>2033-11-24</v>
      </c>
      <c r="B192" s="1" t="str">
        <v>FixedRateCoupon</v>
      </c>
      <c r="C192" s="12">
        <v>1143.6491564175296</v>
      </c>
      <c r="D192" s="11">
        <v>0</v>
      </c>
      <c r="E192" s="13">
        <v>8.611111111111111E-2</v>
      </c>
      <c r="F192" s="1" t="str">
        <v>EUR</v>
      </c>
      <c r="G192" s="11">
        <v>0</v>
      </c>
      <c r="H192" s="11">
        <v>0</v>
      </c>
      <c r="I192" s="1">
        <v>0</v>
      </c>
    </row>
    <row r="193" spans="1:9" ht="24" customHeight="1" x14ac:dyDescent="0.25">
      <c r="A193" s="1" t="str">
        <v>2033-11-24</v>
      </c>
      <c r="B193" s="1" t="str">
        <v>Redemption</v>
      </c>
      <c r="C193" s="12">
        <v>368.96368712774711</v>
      </c>
      <c r="D193" s="11">
        <v>0</v>
      </c>
      <c r="E193" s="13">
        <v>0</v>
      </c>
      <c r="F193" s="1" t="str">
        <v>EUR</v>
      </c>
      <c r="G193" s="11">
        <v>0</v>
      </c>
      <c r="H193" s="11">
        <v>0</v>
      </c>
      <c r="I193" s="1">
        <v>0</v>
      </c>
    </row>
    <row r="194" spans="1:9" ht="24" customHeight="1" x14ac:dyDescent="0.25">
      <c r="A194" s="1" t="str">
        <v>2033-12-24</v>
      </c>
      <c r="B194" s="1" t="str">
        <v>FixedRateCoupon</v>
      </c>
      <c r="C194" s="12">
        <v>1104.9124297103576</v>
      </c>
      <c r="D194" s="11">
        <v>0</v>
      </c>
      <c r="E194" s="13">
        <v>8.3333333333333329E-2</v>
      </c>
      <c r="F194" s="1" t="str">
        <v>EUR</v>
      </c>
      <c r="G194" s="11">
        <v>0</v>
      </c>
      <c r="H194" s="11">
        <v>0</v>
      </c>
      <c r="I194" s="1">
        <v>0</v>
      </c>
    </row>
    <row r="195" spans="1:9" ht="24" customHeight="1" x14ac:dyDescent="0.25">
      <c r="A195" s="1" t="str">
        <v>2033-12-24</v>
      </c>
      <c r="B195" s="1" t="str">
        <v>Redemption</v>
      </c>
      <c r="C195" s="12">
        <v>407.70041383497301</v>
      </c>
      <c r="D195" s="11">
        <v>0</v>
      </c>
      <c r="E195" s="13">
        <v>0</v>
      </c>
      <c r="F195" s="1" t="str">
        <v>EUR</v>
      </c>
      <c r="G195" s="11">
        <v>0</v>
      </c>
      <c r="H195" s="11">
        <v>0</v>
      </c>
      <c r="I195" s="1">
        <v>0</v>
      </c>
    </row>
    <row r="196" spans="1:9" ht="24" customHeight="1" x14ac:dyDescent="0.25">
      <c r="A196" s="1" t="str">
        <v>2034-01-24</v>
      </c>
      <c r="B196" s="1" t="str">
        <v>FixedRateCoupon</v>
      </c>
      <c r="C196" s="12">
        <v>1139.6363918958889</v>
      </c>
      <c r="D196" s="11">
        <v>0</v>
      </c>
      <c r="E196" s="13">
        <v>8.611111111111111E-2</v>
      </c>
      <c r="F196" s="1" t="str">
        <v>EUR</v>
      </c>
      <c r="G196" s="11">
        <v>0</v>
      </c>
      <c r="H196" s="11">
        <v>0</v>
      </c>
      <c r="I196" s="1">
        <v>0</v>
      </c>
    </row>
    <row r="197" spans="1:9" ht="24" customHeight="1" x14ac:dyDescent="0.25">
      <c r="A197" s="1" t="str">
        <v>2034-01-24</v>
      </c>
      <c r="B197" s="1" t="str">
        <v>Redemption</v>
      </c>
      <c r="C197" s="12">
        <v>372.97645164938876</v>
      </c>
      <c r="D197" s="11">
        <v>0</v>
      </c>
      <c r="E197" s="13">
        <v>0</v>
      </c>
      <c r="F197" s="1" t="str">
        <v>EUR</v>
      </c>
      <c r="G197" s="11">
        <v>0</v>
      </c>
      <c r="H197" s="11">
        <v>0</v>
      </c>
      <c r="I197" s="1">
        <v>0</v>
      </c>
    </row>
    <row r="198" spans="1:9" ht="24" customHeight="1" x14ac:dyDescent="0.25">
      <c r="A198" s="1" t="str">
        <v>2034-02-24</v>
      </c>
      <c r="B198" s="1" t="str">
        <v>FixedRateCoupon</v>
      </c>
      <c r="C198" s="12">
        <v>1137.7093468957003</v>
      </c>
      <c r="D198" s="11">
        <v>0</v>
      </c>
      <c r="E198" s="13">
        <v>8.611111111111111E-2</v>
      </c>
      <c r="F198" s="1" t="str">
        <v>EUR</v>
      </c>
      <c r="G198" s="11">
        <v>0</v>
      </c>
      <c r="H198" s="11">
        <v>0</v>
      </c>
      <c r="I198" s="1">
        <v>0</v>
      </c>
    </row>
    <row r="199" spans="1:9" ht="24" customHeight="1" x14ac:dyDescent="0.25">
      <c r="A199" s="1" t="str">
        <v>2034-02-24</v>
      </c>
      <c r="B199" s="1" t="str">
        <v>Redemption</v>
      </c>
      <c r="C199" s="12">
        <v>374.90349664958194</v>
      </c>
      <c r="D199" s="11">
        <v>0</v>
      </c>
      <c r="E199" s="13">
        <v>0</v>
      </c>
      <c r="F199" s="1" t="str">
        <v>EUR</v>
      </c>
      <c r="G199" s="11">
        <v>0</v>
      </c>
      <c r="H199" s="11">
        <v>0</v>
      </c>
      <c r="I199" s="1">
        <v>0</v>
      </c>
    </row>
    <row r="200" spans="1:9" ht="24" customHeight="1" x14ac:dyDescent="0.25">
      <c r="A200" s="1" t="str">
        <v>2034-03-24</v>
      </c>
      <c r="B200" s="1" t="str">
        <v>FixedRateCoupon</v>
      </c>
      <c r="C200" s="12">
        <v>1025.8588927063754</v>
      </c>
      <c r="D200" s="11">
        <v>0</v>
      </c>
      <c r="E200" s="13">
        <v>7.7777777777777779E-2</v>
      </c>
      <c r="F200" s="1" t="str">
        <v>EUR</v>
      </c>
      <c r="G200" s="11">
        <v>0</v>
      </c>
      <c r="H200" s="11">
        <v>0</v>
      </c>
      <c r="I200" s="1">
        <v>0</v>
      </c>
    </row>
    <row r="201" spans="1:9" ht="24" customHeight="1" x14ac:dyDescent="0.25">
      <c r="A201" s="1" t="str">
        <v>2034-03-24</v>
      </c>
      <c r="B201" s="1" t="str">
        <v>Redemption</v>
      </c>
      <c r="C201" s="12">
        <v>486.75395083896001</v>
      </c>
      <c r="D201" s="11">
        <v>0</v>
      </c>
      <c r="E201" s="13">
        <v>0</v>
      </c>
      <c r="F201" s="1" t="str">
        <v>EUR</v>
      </c>
      <c r="G201" s="11">
        <v>0</v>
      </c>
      <c r="H201" s="11">
        <v>0</v>
      </c>
      <c r="I201" s="1">
        <v>0</v>
      </c>
    </row>
    <row r="202" spans="1:9" ht="24" customHeight="1" x14ac:dyDescent="0.25">
      <c r="A202" s="1" t="str">
        <v>2034-04-24</v>
      </c>
      <c r="B202" s="1" t="str">
        <v>FixedRateCoupon</v>
      </c>
      <c r="C202" s="12">
        <v>1133.2574500836761</v>
      </c>
      <c r="D202" s="11">
        <v>0</v>
      </c>
      <c r="E202" s="13">
        <v>8.611111111111111E-2</v>
      </c>
      <c r="F202" s="1" t="str">
        <v>EUR</v>
      </c>
      <c r="G202" s="11">
        <v>0</v>
      </c>
      <c r="H202" s="11">
        <v>0</v>
      </c>
      <c r="I202" s="1">
        <v>0</v>
      </c>
    </row>
    <row r="203" spans="1:9" ht="24" customHeight="1" x14ac:dyDescent="0.25">
      <c r="A203" s="1" t="str">
        <v>2034-04-24</v>
      </c>
      <c r="B203" s="1" t="str">
        <v>Redemption</v>
      </c>
      <c r="C203" s="12">
        <v>379.35539346162113</v>
      </c>
      <c r="D203" s="11">
        <v>0</v>
      </c>
      <c r="E203" s="13">
        <v>0</v>
      </c>
      <c r="F203" s="1" t="str">
        <v>EUR</v>
      </c>
      <c r="G203" s="11">
        <v>0</v>
      </c>
      <c r="H203" s="11">
        <v>0</v>
      </c>
      <c r="I203" s="1">
        <v>0</v>
      </c>
    </row>
    <row r="204" spans="1:9" ht="24" customHeight="1" x14ac:dyDescent="0.25">
      <c r="A204" s="1" t="str">
        <v>2034-05-24</v>
      </c>
      <c r="B204" s="1" t="str">
        <v>FixedRateCoupon</v>
      </c>
      <c r="C204" s="12">
        <v>1094.803981178185</v>
      </c>
      <c r="D204" s="11">
        <v>0</v>
      </c>
      <c r="E204" s="13">
        <v>8.3333333333333329E-2</v>
      </c>
      <c r="F204" s="1" t="str">
        <v>EUR</v>
      </c>
      <c r="G204" s="11">
        <v>0</v>
      </c>
      <c r="H204" s="11">
        <v>0</v>
      </c>
      <c r="I204" s="1">
        <v>0</v>
      </c>
    </row>
    <row r="205" spans="1:9" ht="24" customHeight="1" x14ac:dyDescent="0.25">
      <c r="A205" s="1" t="str">
        <v>2034-05-24</v>
      </c>
      <c r="B205" s="1" t="str">
        <v>Redemption</v>
      </c>
      <c r="C205" s="12">
        <v>417.80886236715014</v>
      </c>
      <c r="D205" s="11">
        <v>0</v>
      </c>
      <c r="E205" s="13">
        <v>0</v>
      </c>
      <c r="F205" s="1" t="str">
        <v>EUR</v>
      </c>
      <c r="G205" s="11">
        <v>0</v>
      </c>
      <c r="H205" s="11">
        <v>0</v>
      </c>
      <c r="I205" s="1">
        <v>0</v>
      </c>
    </row>
    <row r="206" spans="1:9" ht="24" customHeight="1" x14ac:dyDescent="0.25">
      <c r="A206" s="1" t="str">
        <v>2034-06-24</v>
      </c>
      <c r="B206" s="1" t="str">
        <v>FixedRateCoupon</v>
      </c>
      <c r="C206" s="12">
        <v>1129.1387680952275</v>
      </c>
      <c r="D206" s="11">
        <v>0</v>
      </c>
      <c r="E206" s="13">
        <v>8.611111111111111E-2</v>
      </c>
      <c r="F206" s="1" t="str">
        <v>EUR</v>
      </c>
      <c r="G206" s="11">
        <v>0</v>
      </c>
      <c r="H206" s="11">
        <v>0</v>
      </c>
      <c r="I206" s="1">
        <v>0</v>
      </c>
    </row>
    <row r="207" spans="1:9" ht="24" customHeight="1" x14ac:dyDescent="0.25">
      <c r="A207" s="1" t="str">
        <v>2034-06-24</v>
      </c>
      <c r="B207" s="1" t="str">
        <v>Redemption</v>
      </c>
      <c r="C207" s="12">
        <v>383.47407545006718</v>
      </c>
      <c r="D207" s="11">
        <v>0</v>
      </c>
      <c r="E207" s="13">
        <v>0</v>
      </c>
      <c r="F207" s="1" t="str">
        <v>EUR</v>
      </c>
      <c r="G207" s="11">
        <v>0</v>
      </c>
      <c r="H207" s="11">
        <v>0</v>
      </c>
      <c r="I207" s="1">
        <v>0</v>
      </c>
    </row>
    <row r="208" spans="1:9" ht="24" customHeight="1" x14ac:dyDescent="0.25">
      <c r="A208" s="1" t="str">
        <v>2034-07-24</v>
      </c>
      <c r="B208" s="1" t="str">
        <v>FixedRateCoupon</v>
      </c>
      <c r="C208" s="12">
        <v>1090.7975664890989</v>
      </c>
      <c r="D208" s="11">
        <v>0</v>
      </c>
      <c r="E208" s="13">
        <v>8.3333333333333329E-2</v>
      </c>
      <c r="F208" s="1" t="str">
        <v>EUR</v>
      </c>
      <c r="G208" s="11">
        <v>0</v>
      </c>
      <c r="H208" s="11">
        <v>0</v>
      </c>
      <c r="I208" s="1">
        <v>0</v>
      </c>
    </row>
    <row r="209" spans="1:9" ht="24" customHeight="1" x14ac:dyDescent="0.25">
      <c r="A209" s="1" t="str">
        <v>2034-07-24</v>
      </c>
      <c r="B209" s="1" t="str">
        <v>Redemption</v>
      </c>
      <c r="C209" s="12">
        <v>421.81527705624467</v>
      </c>
      <c r="D209" s="11">
        <v>0</v>
      </c>
      <c r="E209" s="13">
        <v>0</v>
      </c>
      <c r="F209" s="1" t="str">
        <v>EUR</v>
      </c>
      <c r="G209" s="11">
        <v>0</v>
      </c>
      <c r="H209" s="11">
        <v>0</v>
      </c>
      <c r="I209" s="1">
        <v>0</v>
      </c>
    </row>
    <row r="210" spans="1:9" ht="24" customHeight="1" x14ac:dyDescent="0.25">
      <c r="A210" s="1" t="str">
        <v>2034-08-24</v>
      </c>
      <c r="B210" s="1" t="str">
        <v>FixedRateCoupon</v>
      </c>
      <c r="C210" s="12">
        <v>1124.9781064406118</v>
      </c>
      <c r="D210" s="11">
        <v>0</v>
      </c>
      <c r="E210" s="13">
        <v>8.611111111111111E-2</v>
      </c>
      <c r="F210" s="1" t="str">
        <v>EUR</v>
      </c>
      <c r="G210" s="11">
        <v>0</v>
      </c>
      <c r="H210" s="11">
        <v>0</v>
      </c>
      <c r="I210" s="1">
        <v>0</v>
      </c>
    </row>
    <row r="211" spans="1:9" ht="24" customHeight="1" x14ac:dyDescent="0.25">
      <c r="A211" s="1" t="str">
        <v>2034-08-24</v>
      </c>
      <c r="B211" s="1" t="str">
        <v>Redemption</v>
      </c>
      <c r="C211" s="12">
        <v>387.63473710467224</v>
      </c>
      <c r="D211" s="11">
        <v>0</v>
      </c>
      <c r="E211" s="13">
        <v>0</v>
      </c>
      <c r="F211" s="1" t="str">
        <v>EUR</v>
      </c>
      <c r="G211" s="11">
        <v>0</v>
      </c>
      <c r="H211" s="11">
        <v>0</v>
      </c>
      <c r="I211" s="1">
        <v>0</v>
      </c>
    </row>
    <row r="212" spans="1:9" ht="24" customHeight="1" x14ac:dyDescent="0.25">
      <c r="A212" s="1" t="str">
        <v>2034-09-24</v>
      </c>
      <c r="B212" s="1" t="str">
        <v>FixedRateCoupon</v>
      </c>
      <c r="C212" s="12">
        <v>1122.975326965571</v>
      </c>
      <c r="D212" s="11">
        <v>0</v>
      </c>
      <c r="E212" s="13">
        <v>8.611111111111111E-2</v>
      </c>
      <c r="F212" s="1" t="str">
        <v>EUR</v>
      </c>
      <c r="G212" s="11">
        <v>0</v>
      </c>
      <c r="H212" s="11">
        <v>0</v>
      </c>
      <c r="I212" s="1">
        <v>0</v>
      </c>
    </row>
    <row r="213" spans="1:9" ht="24" customHeight="1" x14ac:dyDescent="0.25">
      <c r="A213" s="1" t="str">
        <v>2034-09-24</v>
      </c>
      <c r="B213" s="1" t="str">
        <v>Redemption</v>
      </c>
      <c r="C213" s="12">
        <v>389.63751657970715</v>
      </c>
      <c r="D213" s="11">
        <v>0</v>
      </c>
      <c r="E213" s="13">
        <v>0</v>
      </c>
      <c r="F213" s="1" t="str">
        <v>EUR</v>
      </c>
      <c r="G213" s="11">
        <v>0</v>
      </c>
      <c r="H213" s="11">
        <v>0</v>
      </c>
      <c r="I213" s="1">
        <v>0</v>
      </c>
    </row>
    <row r="214" spans="1:9" ht="24" customHeight="1" x14ac:dyDescent="0.25">
      <c r="A214" s="1" t="str">
        <v>2034-10-24</v>
      </c>
      <c r="B214" s="1" t="str">
        <v>FixedRateCoupon</v>
      </c>
      <c r="C214" s="12">
        <v>1084.8021288353957</v>
      </c>
      <c r="D214" s="11">
        <v>0</v>
      </c>
      <c r="E214" s="13">
        <v>8.3333333333333329E-2</v>
      </c>
      <c r="F214" s="1" t="str">
        <v>EUR</v>
      </c>
      <c r="G214" s="11">
        <v>0</v>
      </c>
      <c r="H214" s="11">
        <v>0</v>
      </c>
      <c r="I214" s="1">
        <v>0</v>
      </c>
    </row>
    <row r="215" spans="1:9" ht="24" customHeight="1" x14ac:dyDescent="0.25">
      <c r="A215" s="1" t="str">
        <v>2034-10-24</v>
      </c>
      <c r="B215" s="1" t="str">
        <v>Redemption</v>
      </c>
      <c r="C215" s="12">
        <v>427.81071470992174</v>
      </c>
      <c r="D215" s="11">
        <v>0</v>
      </c>
      <c r="E215" s="13">
        <v>0</v>
      </c>
      <c r="F215" s="1" t="str">
        <v>EUR</v>
      </c>
      <c r="G215" s="11">
        <v>0</v>
      </c>
      <c r="H215" s="11">
        <v>0</v>
      </c>
      <c r="I215" s="1">
        <v>0</v>
      </c>
    </row>
    <row r="216" spans="1:9" ht="24" customHeight="1" x14ac:dyDescent="0.25">
      <c r="A216" s="1" t="str">
        <v>2034-11-24</v>
      </c>
      <c r="B216" s="1" t="str">
        <v>FixedRateCoupon</v>
      </c>
      <c r="C216" s="12">
        <v>1118.7518444372411</v>
      </c>
      <c r="D216" s="11">
        <v>0</v>
      </c>
      <c r="E216" s="13">
        <v>8.611111111111111E-2</v>
      </c>
      <c r="F216" s="1" t="str">
        <v>EUR</v>
      </c>
      <c r="G216" s="11">
        <v>0</v>
      </c>
      <c r="H216" s="11">
        <v>0</v>
      </c>
      <c r="I216" s="1">
        <v>0</v>
      </c>
    </row>
    <row r="217" spans="1:9" ht="24" customHeight="1" x14ac:dyDescent="0.25">
      <c r="A217" s="1" t="str">
        <v>2034-11-24</v>
      </c>
      <c r="B217" s="1" t="str">
        <v>Redemption</v>
      </c>
      <c r="C217" s="12">
        <v>393.86099910803023</v>
      </c>
      <c r="D217" s="11">
        <v>0</v>
      </c>
      <c r="E217" s="13">
        <v>0</v>
      </c>
      <c r="F217" s="1" t="str">
        <v>EUR</v>
      </c>
      <c r="G217" s="11">
        <v>0</v>
      </c>
      <c r="H217" s="11">
        <v>0</v>
      </c>
      <c r="I217" s="1">
        <v>0</v>
      </c>
    </row>
    <row r="218" spans="1:9" ht="24" customHeight="1" x14ac:dyDescent="0.25">
      <c r="A218" s="1" t="str">
        <v>2034-12-24</v>
      </c>
      <c r="B218" s="1" t="str">
        <v>FixedRateCoupon</v>
      </c>
      <c r="C218" s="12">
        <v>1080.6937702663058</v>
      </c>
      <c r="D218" s="11">
        <v>0</v>
      </c>
      <c r="E218" s="13">
        <v>8.3333333333333329E-2</v>
      </c>
      <c r="F218" s="1" t="str">
        <v>EUR</v>
      </c>
      <c r="G218" s="11">
        <v>0</v>
      </c>
      <c r="H218" s="11">
        <v>0</v>
      </c>
      <c r="I218" s="1">
        <v>0</v>
      </c>
    </row>
    <row r="219" spans="1:9" ht="24" customHeight="1" x14ac:dyDescent="0.25">
      <c r="A219" s="1" t="str">
        <v>2034-12-24</v>
      </c>
      <c r="B219" s="1" t="str">
        <v>Redemption</v>
      </c>
      <c r="C219" s="12">
        <v>431.91907327901572</v>
      </c>
      <c r="D219" s="11">
        <v>0</v>
      </c>
      <c r="E219" s="13">
        <v>0</v>
      </c>
      <c r="F219" s="1" t="str">
        <v>EUR</v>
      </c>
      <c r="G219" s="11">
        <v>0</v>
      </c>
      <c r="H219" s="11">
        <v>0</v>
      </c>
      <c r="I219" s="1">
        <v>0</v>
      </c>
    </row>
    <row r="220" spans="1:9" ht="24" customHeight="1" x14ac:dyDescent="0.25">
      <c r="A220" s="1" t="str">
        <v>2035-01-24</v>
      </c>
      <c r="B220" s="1" t="str">
        <v>FixedRateCoupon</v>
      </c>
      <c r="C220" s="12">
        <v>1114.4853140632415</v>
      </c>
      <c r="D220" s="11">
        <v>0</v>
      </c>
      <c r="E220" s="13">
        <v>8.611111111111111E-2</v>
      </c>
      <c r="F220" s="1" t="str">
        <v>EUR</v>
      </c>
      <c r="G220" s="11">
        <v>0</v>
      </c>
      <c r="H220" s="11">
        <v>0</v>
      </c>
      <c r="I220" s="1">
        <v>0</v>
      </c>
    </row>
    <row r="221" spans="1:9" ht="24" customHeight="1" x14ac:dyDescent="0.25">
      <c r="A221" s="1" t="str">
        <v>2035-01-24</v>
      </c>
      <c r="B221" s="1" t="str">
        <v>Redemption</v>
      </c>
      <c r="C221" s="12">
        <v>398.12752948203706</v>
      </c>
      <c r="D221" s="11">
        <v>0</v>
      </c>
      <c r="E221" s="13">
        <v>0</v>
      </c>
      <c r="F221" s="1" t="str">
        <v>EUR</v>
      </c>
      <c r="G221" s="11">
        <v>0</v>
      </c>
      <c r="H221" s="11">
        <v>0</v>
      </c>
      <c r="I221" s="1">
        <v>0</v>
      </c>
    </row>
    <row r="222" spans="1:9" ht="24" customHeight="1" x14ac:dyDescent="0.25">
      <c r="A222" s="1" t="str">
        <v>2035-02-24</v>
      </c>
      <c r="B222" s="1" t="str">
        <v>FixedRateCoupon</v>
      </c>
      <c r="C222" s="12">
        <v>1112.4283218275841</v>
      </c>
      <c r="D222" s="11">
        <v>0</v>
      </c>
      <c r="E222" s="13">
        <v>8.611111111111111E-2</v>
      </c>
      <c r="F222" s="1" t="str">
        <v>EUR</v>
      </c>
      <c r="G222" s="11">
        <v>0</v>
      </c>
      <c r="H222" s="11">
        <v>0</v>
      </c>
      <c r="I222" s="1">
        <v>0</v>
      </c>
    </row>
    <row r="223" spans="1:9" ht="24" customHeight="1" x14ac:dyDescent="0.25">
      <c r="A223" s="1" t="str">
        <v>2035-02-24</v>
      </c>
      <c r="B223" s="1" t="str">
        <v>Redemption</v>
      </c>
      <c r="C223" s="12">
        <v>400.18452171768877</v>
      </c>
      <c r="D223" s="11">
        <v>0</v>
      </c>
      <c r="E223" s="13">
        <v>0</v>
      </c>
      <c r="F223" s="1" t="str">
        <v>EUR</v>
      </c>
      <c r="G223" s="11">
        <v>0</v>
      </c>
      <c r="H223" s="11">
        <v>0</v>
      </c>
      <c r="I223" s="1">
        <v>0</v>
      </c>
    </row>
    <row r="224" spans="1:9" ht="24" customHeight="1" x14ac:dyDescent="0.25">
      <c r="A224" s="1" t="str">
        <v>2035-03-24</v>
      </c>
      <c r="B224" s="1" t="str">
        <v>FixedRateCoupon</v>
      </c>
      <c r="C224" s="12">
        <v>1002.9064403343183</v>
      </c>
      <c r="D224" s="11">
        <v>0</v>
      </c>
      <c r="E224" s="13">
        <v>7.7777777777777779E-2</v>
      </c>
      <c r="F224" s="1" t="str">
        <v>EUR</v>
      </c>
      <c r="G224" s="11">
        <v>0</v>
      </c>
      <c r="H224" s="11">
        <v>0</v>
      </c>
      <c r="I224" s="1">
        <v>0</v>
      </c>
    </row>
    <row r="225" spans="1:9" ht="24" customHeight="1" x14ac:dyDescent="0.25">
      <c r="A225" s="1" t="str">
        <v>2035-03-24</v>
      </c>
      <c r="B225" s="1" t="str">
        <v>Redemption</v>
      </c>
      <c r="C225" s="12">
        <v>509.70640321099199</v>
      </c>
      <c r="D225" s="11">
        <v>0</v>
      </c>
      <c r="E225" s="13">
        <v>0</v>
      </c>
      <c r="F225" s="1" t="str">
        <v>EUR</v>
      </c>
      <c r="G225" s="11">
        <v>0</v>
      </c>
      <c r="H225" s="11">
        <v>0</v>
      </c>
      <c r="I225" s="1">
        <v>0</v>
      </c>
    </row>
    <row r="226" spans="1:9" ht="24" customHeight="1" x14ac:dyDescent="0.25">
      <c r="A226" s="1" t="str">
        <v>2035-04-24</v>
      </c>
      <c r="B226" s="1" t="str">
        <v>FixedRateCoupon</v>
      </c>
      <c r="C226" s="12">
        <v>1107.7272187154526</v>
      </c>
      <c r="D226" s="11">
        <v>0</v>
      </c>
      <c r="E226" s="13">
        <v>8.611111111111111E-2</v>
      </c>
      <c r="F226" s="1" t="str">
        <v>EUR</v>
      </c>
      <c r="G226" s="11">
        <v>0</v>
      </c>
      <c r="H226" s="11">
        <v>0</v>
      </c>
      <c r="I226" s="1">
        <v>0</v>
      </c>
    </row>
    <row r="227" spans="1:9" ht="24" customHeight="1" x14ac:dyDescent="0.25">
      <c r="A227" s="1" t="str">
        <v>2035-04-24</v>
      </c>
      <c r="B227" s="1" t="str">
        <v>Redemption</v>
      </c>
      <c r="C227" s="12">
        <v>404.88562482982525</v>
      </c>
      <c r="D227" s="11">
        <v>0</v>
      </c>
      <c r="E227" s="13">
        <v>0</v>
      </c>
      <c r="F227" s="1" t="str">
        <v>EUR</v>
      </c>
      <c r="G227" s="11">
        <v>0</v>
      </c>
      <c r="H227" s="11">
        <v>0</v>
      </c>
      <c r="I227" s="1">
        <v>0</v>
      </c>
    </row>
    <row r="228" spans="1:9" ht="24" customHeight="1" x14ac:dyDescent="0.25">
      <c r="A228" s="1" t="str">
        <v>2035-05-24</v>
      </c>
      <c r="B228" s="1" t="str">
        <v>FixedRateCoupon</v>
      </c>
      <c r="C228" s="12">
        <v>1069.9696545037082</v>
      </c>
      <c r="D228" s="11">
        <v>0</v>
      </c>
      <c r="E228" s="13">
        <v>8.3333333333333329E-2</v>
      </c>
      <c r="F228" s="1" t="str">
        <v>EUR</v>
      </c>
      <c r="G228" s="11">
        <v>0</v>
      </c>
      <c r="H228" s="11">
        <v>0</v>
      </c>
      <c r="I228" s="1">
        <v>0</v>
      </c>
    </row>
    <row r="229" spans="1:9" ht="24" customHeight="1" x14ac:dyDescent="0.25">
      <c r="A229" s="1" t="str">
        <v>2035-05-24</v>
      </c>
      <c r="B229" s="1" t="str">
        <v>Redemption</v>
      </c>
      <c r="C229" s="12">
        <v>442.64318904161337</v>
      </c>
      <c r="D229" s="11">
        <v>0</v>
      </c>
      <c r="E229" s="13">
        <v>0</v>
      </c>
      <c r="F229" s="1" t="str">
        <v>EUR</v>
      </c>
      <c r="G229" s="11">
        <v>0</v>
      </c>
      <c r="H229" s="11">
        <v>0</v>
      </c>
      <c r="I229" s="1">
        <v>0</v>
      </c>
    </row>
    <row r="230" spans="1:9" ht="24" customHeight="1" x14ac:dyDescent="0.25">
      <c r="A230" s="1" t="str">
        <v>2035-06-24</v>
      </c>
      <c r="B230" s="1" t="str">
        <v>FixedRateCoupon</v>
      </c>
      <c r="C230" s="12">
        <v>1103.3483198437834</v>
      </c>
      <c r="D230" s="11">
        <v>0</v>
      </c>
      <c r="E230" s="13">
        <v>8.611111111111111E-2</v>
      </c>
      <c r="F230" s="1" t="str">
        <v>EUR</v>
      </c>
      <c r="G230" s="11">
        <v>0</v>
      </c>
      <c r="H230" s="11">
        <v>0</v>
      </c>
      <c r="I230" s="1">
        <v>0</v>
      </c>
    </row>
    <row r="231" spans="1:9" ht="24" customHeight="1" x14ac:dyDescent="0.25">
      <c r="A231" s="1" t="str">
        <v>2035-06-24</v>
      </c>
      <c r="B231" s="1" t="str">
        <v>Redemption</v>
      </c>
      <c r="C231" s="12">
        <v>409.26452370150946</v>
      </c>
      <c r="D231" s="11">
        <v>0</v>
      </c>
      <c r="E231" s="13">
        <v>0</v>
      </c>
      <c r="F231" s="1" t="str">
        <v>EUR</v>
      </c>
      <c r="G231" s="11">
        <v>0</v>
      </c>
      <c r="H231" s="11">
        <v>0</v>
      </c>
      <c r="I231" s="1">
        <v>0</v>
      </c>
    </row>
    <row r="232" spans="1:9" ht="24" customHeight="1" x14ac:dyDescent="0.25">
      <c r="A232" s="1" t="str">
        <v>2035-07-24</v>
      </c>
      <c r="B232" s="1" t="str">
        <v>FixedRateCoupon</v>
      </c>
      <c r="C232" s="12">
        <v>1065.7101159399926</v>
      </c>
      <c r="D232" s="11">
        <v>0</v>
      </c>
      <c r="E232" s="13">
        <v>8.3333333333333329E-2</v>
      </c>
      <c r="F232" s="1" t="str">
        <v>EUR</v>
      </c>
      <c r="G232" s="11">
        <v>0</v>
      </c>
      <c r="H232" s="11">
        <v>0</v>
      </c>
      <c r="I232" s="1">
        <v>0</v>
      </c>
    </row>
    <row r="233" spans="1:9" ht="24" customHeight="1" x14ac:dyDescent="0.25">
      <c r="A233" s="1" t="str">
        <v>2035-07-24</v>
      </c>
      <c r="B233" s="1" t="str">
        <v>Redemption</v>
      </c>
      <c r="C233" s="12">
        <v>446.90272760533844</v>
      </c>
      <c r="D233" s="11">
        <v>0</v>
      </c>
      <c r="E233" s="13">
        <v>0</v>
      </c>
      <c r="F233" s="1" t="str">
        <v>EUR</v>
      </c>
      <c r="G233" s="11">
        <v>0</v>
      </c>
      <c r="H233" s="11">
        <v>0</v>
      </c>
      <c r="I233" s="1">
        <v>0</v>
      </c>
    </row>
    <row r="234" spans="1:9" ht="24" customHeight="1" x14ac:dyDescent="0.25">
      <c r="A234" s="1" t="str">
        <v>2035-08-24</v>
      </c>
      <c r="B234" s="1" t="str">
        <v>FixedRateCoupon</v>
      </c>
      <c r="C234" s="12">
        <v>1098.9247890453648</v>
      </c>
      <c r="D234" s="11">
        <v>0</v>
      </c>
      <c r="E234" s="13">
        <v>8.611111111111111E-2</v>
      </c>
      <c r="F234" s="1" t="str">
        <v>EUR</v>
      </c>
      <c r="G234" s="11">
        <v>0</v>
      </c>
      <c r="H234" s="11">
        <v>0</v>
      </c>
      <c r="I234" s="1">
        <v>0</v>
      </c>
    </row>
    <row r="235" spans="1:9" ht="24" customHeight="1" x14ac:dyDescent="0.25">
      <c r="A235" s="1" t="str">
        <v>2035-08-24</v>
      </c>
      <c r="B235" s="1" t="str">
        <v>Redemption</v>
      </c>
      <c r="C235" s="12">
        <v>413.68805449991487</v>
      </c>
      <c r="D235" s="11">
        <v>0</v>
      </c>
      <c r="E235" s="13">
        <v>0</v>
      </c>
      <c r="F235" s="1" t="str">
        <v>EUR</v>
      </c>
      <c r="G235" s="11">
        <v>0</v>
      </c>
      <c r="H235" s="11">
        <v>0</v>
      </c>
      <c r="I235" s="1">
        <v>0</v>
      </c>
    </row>
    <row r="236" spans="1:9" ht="24" customHeight="1" x14ac:dyDescent="0.25">
      <c r="A236" s="1" t="str">
        <v>2035-09-24</v>
      </c>
      <c r="B236" s="1" t="str">
        <v>FixedRateCoupon</v>
      </c>
      <c r="C236" s="12">
        <v>1096.787400763782</v>
      </c>
      <c r="D236" s="11">
        <v>0</v>
      </c>
      <c r="E236" s="13">
        <v>8.611111111111111E-2</v>
      </c>
      <c r="F236" s="1" t="str">
        <v>EUR</v>
      </c>
      <c r="G236" s="11">
        <v>0</v>
      </c>
      <c r="H236" s="11">
        <v>0</v>
      </c>
      <c r="I236" s="1">
        <v>0</v>
      </c>
    </row>
    <row r="237" spans="1:9" ht="24" customHeight="1" x14ac:dyDescent="0.25">
      <c r="A237" s="1" t="str">
        <v>2035-09-24</v>
      </c>
      <c r="B237" s="1" t="str">
        <v>Redemption</v>
      </c>
      <c r="C237" s="12">
        <v>415.82544278149726</v>
      </c>
      <c r="D237" s="11">
        <v>0</v>
      </c>
      <c r="E237" s="13">
        <v>0</v>
      </c>
      <c r="F237" s="1" t="str">
        <v>EUR</v>
      </c>
      <c r="G237" s="11">
        <v>0</v>
      </c>
      <c r="H237" s="11">
        <v>0</v>
      </c>
      <c r="I237" s="1">
        <v>0</v>
      </c>
    </row>
    <row r="238" spans="1:9" ht="24" customHeight="1" x14ac:dyDescent="0.25">
      <c r="A238" s="1" t="str">
        <v>2035-10-24</v>
      </c>
      <c r="B238" s="1" t="str">
        <v>FixedRateCoupon</v>
      </c>
      <c r="C238" s="12">
        <v>1059.3280348155588</v>
      </c>
      <c r="D238" s="11">
        <v>0</v>
      </c>
      <c r="E238" s="13">
        <v>8.3333333333333329E-2</v>
      </c>
      <c r="F238" s="1" t="str">
        <v>EUR</v>
      </c>
      <c r="G238" s="11">
        <v>0</v>
      </c>
      <c r="H238" s="11">
        <v>0</v>
      </c>
      <c r="I238" s="1">
        <v>0</v>
      </c>
    </row>
    <row r="239" spans="1:9" ht="24" customHeight="1" x14ac:dyDescent="0.25">
      <c r="A239" s="1" t="str">
        <v>2035-10-24</v>
      </c>
      <c r="B239" s="1" t="str">
        <v>Redemption</v>
      </c>
      <c r="C239" s="12">
        <v>453.28480872977525</v>
      </c>
      <c r="D239" s="11">
        <v>0</v>
      </c>
      <c r="E239" s="13">
        <v>0</v>
      </c>
      <c r="F239" s="1" t="str">
        <v>EUR</v>
      </c>
      <c r="G239" s="11">
        <v>0</v>
      </c>
      <c r="H239" s="11">
        <v>0</v>
      </c>
      <c r="I239" s="1">
        <v>0</v>
      </c>
    </row>
    <row r="240" spans="1:9" ht="24" customHeight="1" x14ac:dyDescent="0.25">
      <c r="A240" s="1" t="str">
        <v>2035-11-24</v>
      </c>
      <c r="B240" s="1" t="str">
        <v>FixedRateCoupon</v>
      </c>
      <c r="C240" s="12">
        <v>1092.2969977976404</v>
      </c>
      <c r="D240" s="11">
        <v>0</v>
      </c>
      <c r="E240" s="13">
        <v>8.611111111111111E-2</v>
      </c>
      <c r="F240" s="1" t="str">
        <v>EUR</v>
      </c>
      <c r="G240" s="11">
        <v>0</v>
      </c>
      <c r="H240" s="11">
        <v>0</v>
      </c>
      <c r="I240" s="1">
        <v>0</v>
      </c>
    </row>
    <row r="241" spans="1:9" ht="24" customHeight="1" x14ac:dyDescent="0.25">
      <c r="A241" s="1" t="str">
        <v>2035-11-24</v>
      </c>
      <c r="B241" s="1" t="str">
        <v>Redemption</v>
      </c>
      <c r="C241" s="12">
        <v>420.31584574765293</v>
      </c>
      <c r="D241" s="11">
        <v>0</v>
      </c>
      <c r="E241" s="13">
        <v>0</v>
      </c>
      <c r="F241" s="1" t="str">
        <v>EUR</v>
      </c>
      <c r="G241" s="11">
        <v>0</v>
      </c>
      <c r="H241" s="11">
        <v>0</v>
      </c>
      <c r="I241" s="1">
        <v>0</v>
      </c>
    </row>
    <row r="242" spans="1:9" ht="24" customHeight="1" x14ac:dyDescent="0.25">
      <c r="A242" s="1" t="str">
        <v>2035-12-24</v>
      </c>
      <c r="B242" s="1" t="str">
        <v>FixedRateCoupon</v>
      </c>
      <c r="C242" s="12">
        <v>1054.9600315431717</v>
      </c>
      <c r="D242" s="11">
        <v>0</v>
      </c>
      <c r="E242" s="13">
        <v>8.3333333333333329E-2</v>
      </c>
      <c r="F242" s="1" t="str">
        <v>EUR</v>
      </c>
      <c r="G242" s="11">
        <v>0</v>
      </c>
      <c r="H242" s="11">
        <v>0</v>
      </c>
      <c r="I242" s="1">
        <v>0</v>
      </c>
    </row>
    <row r="243" spans="1:9" ht="24" customHeight="1" x14ac:dyDescent="0.25">
      <c r="A243" s="1" t="str">
        <v>2035-12-24</v>
      </c>
      <c r="B243" s="1" t="str">
        <v>Redemption</v>
      </c>
      <c r="C243" s="12">
        <v>457.6528120021685</v>
      </c>
      <c r="D243" s="11">
        <v>0</v>
      </c>
      <c r="E243" s="13">
        <v>0</v>
      </c>
      <c r="F243" s="1" t="str">
        <v>EUR</v>
      </c>
      <c r="G243" s="11">
        <v>0</v>
      </c>
      <c r="H243" s="11">
        <v>0</v>
      </c>
      <c r="I243" s="1">
        <v>0</v>
      </c>
    </row>
    <row r="244" spans="1:9" ht="24" customHeight="1" x14ac:dyDescent="0.25">
      <c r="A244" s="1" t="str">
        <v>2036-01-24</v>
      </c>
      <c r="B244" s="1" t="str">
        <v>FixedRateCoupon</v>
      </c>
      <c r="C244" s="12">
        <v>1087.7608263992661</v>
      </c>
      <c r="D244" s="11">
        <v>0</v>
      </c>
      <c r="E244" s="13">
        <v>8.611111111111111E-2</v>
      </c>
      <c r="F244" s="1" t="str">
        <v>EUR</v>
      </c>
      <c r="G244" s="11">
        <v>0</v>
      </c>
      <c r="H244" s="11">
        <v>0</v>
      </c>
      <c r="I244" s="1">
        <v>0</v>
      </c>
    </row>
    <row r="245" spans="1:9" ht="24" customHeight="1" x14ac:dyDescent="0.25">
      <c r="A245" s="1" t="str">
        <v>2036-01-24</v>
      </c>
      <c r="B245" s="1" t="str">
        <v>Redemption</v>
      </c>
      <c r="C245" s="12">
        <v>424.85201714601135</v>
      </c>
      <c r="D245" s="11">
        <v>0</v>
      </c>
      <c r="E245" s="13">
        <v>0</v>
      </c>
      <c r="F245" s="1" t="str">
        <v>EUR</v>
      </c>
      <c r="G245" s="11">
        <v>0</v>
      </c>
      <c r="H245" s="11">
        <v>0</v>
      </c>
      <c r="I245" s="1">
        <v>0</v>
      </c>
    </row>
    <row r="246" spans="1:9" ht="24" customHeight="1" x14ac:dyDescent="0.25">
      <c r="A246" s="1" t="str">
        <v>2036-02-24</v>
      </c>
      <c r="B246" s="1" t="str">
        <v>FixedRateCoupon</v>
      </c>
      <c r="C246" s="12">
        <v>1085.5657576440119</v>
      </c>
      <c r="D246" s="11">
        <v>0</v>
      </c>
      <c r="E246" s="13">
        <v>8.611111111111111E-2</v>
      </c>
      <c r="F246" s="1" t="str">
        <v>EUR</v>
      </c>
      <c r="G246" s="11">
        <v>0</v>
      </c>
      <c r="H246" s="11">
        <v>0</v>
      </c>
      <c r="I246" s="1">
        <v>0</v>
      </c>
    </row>
    <row r="247" spans="1:9" ht="24" customHeight="1" x14ac:dyDescent="0.25">
      <c r="A247" s="1" t="str">
        <v>2036-02-24</v>
      </c>
      <c r="B247" s="1" t="str">
        <v>Redemption</v>
      </c>
      <c r="C247" s="12">
        <v>427.04708590128575</v>
      </c>
      <c r="D247" s="11">
        <v>0</v>
      </c>
      <c r="E247" s="13">
        <v>0</v>
      </c>
      <c r="F247" s="1" t="str">
        <v>EUR</v>
      </c>
      <c r="G247" s="11">
        <v>0</v>
      </c>
      <c r="H247" s="11">
        <v>0</v>
      </c>
      <c r="I247" s="1">
        <v>0</v>
      </c>
    </row>
    <row r="248" spans="1:9" ht="24" customHeight="1" x14ac:dyDescent="0.25">
      <c r="A248" s="1" t="str">
        <v>2036-03-24</v>
      </c>
      <c r="B248" s="1" t="str">
        <v>FixedRateCoupon</v>
      </c>
      <c r="C248" s="12">
        <v>1013.4651962356604</v>
      </c>
      <c r="D248" s="11">
        <v>0</v>
      </c>
      <c r="E248" s="13">
        <v>8.0555555555555561E-2</v>
      </c>
      <c r="F248" s="1" t="str">
        <v>EUR</v>
      </c>
      <c r="G248" s="11">
        <v>0</v>
      </c>
      <c r="H248" s="11">
        <v>0</v>
      </c>
      <c r="I248" s="1">
        <v>0</v>
      </c>
    </row>
    <row r="249" spans="1:9" ht="24" customHeight="1" x14ac:dyDescent="0.25">
      <c r="A249" s="1" t="str">
        <v>2036-03-24</v>
      </c>
      <c r="B249" s="1" t="str">
        <v>Redemption</v>
      </c>
      <c r="C249" s="12">
        <v>499.14764730966999</v>
      </c>
      <c r="D249" s="11">
        <v>0</v>
      </c>
      <c r="E249" s="13">
        <v>0</v>
      </c>
      <c r="F249" s="1" t="str">
        <v>EUR</v>
      </c>
      <c r="G249" s="11">
        <v>0</v>
      </c>
      <c r="H249" s="11">
        <v>0</v>
      </c>
      <c r="I249" s="1">
        <v>0</v>
      </c>
    </row>
    <row r="250" spans="1:9" ht="24" customHeight="1" x14ac:dyDescent="0.25">
      <c r="A250" s="1" t="str">
        <v>2036-04-24</v>
      </c>
      <c r="B250" s="1" t="str">
        <v>FixedRateCoupon</v>
      </c>
      <c r="C250" s="12">
        <v>1080.7804181890886</v>
      </c>
      <c r="D250" s="11">
        <v>0</v>
      </c>
      <c r="E250" s="13">
        <v>8.611111111111111E-2</v>
      </c>
      <c r="F250" s="1" t="str">
        <v>EUR</v>
      </c>
      <c r="G250" s="11">
        <v>0</v>
      </c>
      <c r="H250" s="11">
        <v>0</v>
      </c>
      <c r="I250" s="1">
        <v>0</v>
      </c>
    </row>
    <row r="251" spans="1:9" ht="24" customHeight="1" x14ac:dyDescent="0.25">
      <c r="A251" s="1" t="str">
        <v>2036-04-24</v>
      </c>
      <c r="B251" s="1" t="str">
        <v>Redemption</v>
      </c>
      <c r="C251" s="12">
        <v>431.83242535620229</v>
      </c>
      <c r="D251" s="11">
        <v>0</v>
      </c>
      <c r="E251" s="13">
        <v>0</v>
      </c>
      <c r="F251" s="1" t="str">
        <v>EUR</v>
      </c>
      <c r="G251" s="11">
        <v>0</v>
      </c>
      <c r="H251" s="11">
        <v>0</v>
      </c>
      <c r="I251" s="1">
        <v>0</v>
      </c>
    </row>
    <row r="252" spans="1:9" ht="24" customHeight="1" x14ac:dyDescent="0.25">
      <c r="A252" s="1" t="str">
        <v>2036-05-24</v>
      </c>
      <c r="B252" s="1" t="str">
        <v>FixedRateCoupon</v>
      </c>
      <c r="C252" s="12">
        <v>1043.7573716045952</v>
      </c>
      <c r="D252" s="11">
        <v>0</v>
      </c>
      <c r="E252" s="13">
        <v>8.3333333333333329E-2</v>
      </c>
      <c r="F252" s="1" t="str">
        <v>EUR</v>
      </c>
      <c r="G252" s="11">
        <v>0</v>
      </c>
      <c r="H252" s="11">
        <v>0</v>
      </c>
      <c r="I252" s="1">
        <v>0</v>
      </c>
    </row>
    <row r="253" spans="1:9" ht="24" customHeight="1" x14ac:dyDescent="0.25">
      <c r="A253" s="1" t="str">
        <v>2036-05-24</v>
      </c>
      <c r="B253" s="1" t="str">
        <v>Redemption</v>
      </c>
      <c r="C253" s="12">
        <v>468.85547194074024</v>
      </c>
      <c r="D253" s="11">
        <v>0</v>
      </c>
      <c r="E253" s="13">
        <v>0</v>
      </c>
      <c r="F253" s="1" t="str">
        <v>EUR</v>
      </c>
      <c r="G253" s="11">
        <v>0</v>
      </c>
      <c r="H253" s="11">
        <v>0</v>
      </c>
      <c r="I253" s="1">
        <v>0</v>
      </c>
    </row>
    <row r="254" spans="1:9" ht="24" customHeight="1" x14ac:dyDescent="0.25">
      <c r="A254" s="1" t="str">
        <v>2036-06-24</v>
      </c>
      <c r="B254" s="1" t="str">
        <v>FixedRateCoupon</v>
      </c>
      <c r="C254" s="12">
        <v>1076.1268640530543</v>
      </c>
      <c r="D254" s="11">
        <v>0</v>
      </c>
      <c r="E254" s="13">
        <v>8.611111111111111E-2</v>
      </c>
      <c r="F254" s="1" t="str">
        <v>EUR</v>
      </c>
      <c r="G254" s="11">
        <v>0</v>
      </c>
      <c r="H254" s="11">
        <v>0</v>
      </c>
      <c r="I254" s="1">
        <v>0</v>
      </c>
    </row>
    <row r="255" spans="1:9" ht="24" customHeight="1" x14ac:dyDescent="0.25">
      <c r="A255" s="1" t="str">
        <v>2036-06-24</v>
      </c>
      <c r="B255" s="1" t="str">
        <v>Redemption</v>
      </c>
      <c r="C255" s="12">
        <v>436.48597949222312</v>
      </c>
      <c r="D255" s="11">
        <v>0</v>
      </c>
      <c r="E255" s="13">
        <v>0</v>
      </c>
      <c r="F255" s="1" t="str">
        <v>EUR</v>
      </c>
      <c r="G255" s="11">
        <v>0</v>
      </c>
      <c r="H255" s="11">
        <v>0</v>
      </c>
      <c r="I255" s="1">
        <v>0</v>
      </c>
    </row>
    <row r="256" spans="1:9" ht="24" customHeight="1" x14ac:dyDescent="0.25">
      <c r="A256" s="1" t="str">
        <v>2036-07-24</v>
      </c>
      <c r="B256" s="1" t="str">
        <v>FixedRateCoupon</v>
      </c>
      <c r="C256" s="12">
        <v>1039.2306643474303</v>
      </c>
      <c r="D256" s="11">
        <v>0</v>
      </c>
      <c r="E256" s="13">
        <v>8.3333333333333329E-2</v>
      </c>
      <c r="F256" s="1" t="str">
        <v>EUR</v>
      </c>
      <c r="G256" s="11">
        <v>0</v>
      </c>
      <c r="H256" s="11">
        <v>0</v>
      </c>
      <c r="I256" s="1">
        <v>0</v>
      </c>
    </row>
    <row r="257" spans="1:9" ht="24" customHeight="1" x14ac:dyDescent="0.25">
      <c r="A257" s="1" t="str">
        <v>2036-07-24</v>
      </c>
      <c r="B257" s="1" t="str">
        <v>Redemption</v>
      </c>
      <c r="C257" s="12">
        <v>473.3821791978844</v>
      </c>
      <c r="D257" s="11">
        <v>0</v>
      </c>
      <c r="E257" s="13">
        <v>0</v>
      </c>
      <c r="F257" s="1" t="str">
        <v>EUR</v>
      </c>
      <c r="G257" s="11">
        <v>0</v>
      </c>
      <c r="H257" s="11">
        <v>0</v>
      </c>
      <c r="I257" s="1">
        <v>0</v>
      </c>
    </row>
    <row r="258" spans="1:9" ht="24" customHeight="1" x14ac:dyDescent="0.25">
      <c r="A258" s="1" t="str">
        <v>2036-08-24</v>
      </c>
      <c r="B258" s="1" t="str">
        <v>FixedRateCoupon</v>
      </c>
      <c r="C258" s="12">
        <v>1071.4258785664888</v>
      </c>
      <c r="D258" s="11">
        <v>0</v>
      </c>
      <c r="E258" s="13">
        <v>8.611111111111111E-2</v>
      </c>
      <c r="F258" s="1" t="str">
        <v>EUR</v>
      </c>
      <c r="G258" s="11">
        <v>0</v>
      </c>
      <c r="H258" s="11">
        <v>0</v>
      </c>
      <c r="I258" s="1">
        <v>0</v>
      </c>
    </row>
    <row r="259" spans="1:9" ht="24" customHeight="1" x14ac:dyDescent="0.25">
      <c r="A259" s="1" t="str">
        <v>2036-08-24</v>
      </c>
      <c r="B259" s="1" t="str">
        <v>Redemption</v>
      </c>
      <c r="C259" s="12">
        <v>441.18696497878409</v>
      </c>
      <c r="D259" s="11">
        <v>0</v>
      </c>
      <c r="E259" s="13">
        <v>0</v>
      </c>
      <c r="F259" s="1" t="str">
        <v>EUR</v>
      </c>
      <c r="G259" s="11">
        <v>0</v>
      </c>
      <c r="H259" s="11">
        <v>0</v>
      </c>
      <c r="I259" s="1">
        <v>0</v>
      </c>
    </row>
    <row r="260" spans="1:9" ht="24" customHeight="1" x14ac:dyDescent="0.25">
      <c r="A260" s="1" t="str">
        <v>2036-09-24</v>
      </c>
      <c r="B260" s="1" t="str">
        <v>FixedRateCoupon</v>
      </c>
      <c r="C260" s="12">
        <v>1069.1464125807652</v>
      </c>
      <c r="D260" s="11">
        <v>0</v>
      </c>
      <c r="E260" s="13">
        <v>8.611111111111111E-2</v>
      </c>
      <c r="F260" s="1" t="str">
        <v>EUR</v>
      </c>
      <c r="G260" s="11">
        <v>0</v>
      </c>
      <c r="H260" s="11">
        <v>0</v>
      </c>
      <c r="I260" s="1">
        <v>0</v>
      </c>
    </row>
    <row r="261" spans="1:9" ht="24" customHeight="1" x14ac:dyDescent="0.25">
      <c r="A261" s="1" t="str">
        <v>2036-09-24</v>
      </c>
      <c r="B261" s="1" t="str">
        <v>Redemption</v>
      </c>
      <c r="C261" s="12">
        <v>443.46643096453045</v>
      </c>
      <c r="D261" s="11">
        <v>0</v>
      </c>
      <c r="E261" s="13">
        <v>0</v>
      </c>
      <c r="F261" s="1" t="str">
        <v>EUR</v>
      </c>
      <c r="G261" s="11">
        <v>0</v>
      </c>
      <c r="H261" s="11">
        <v>0</v>
      </c>
      <c r="I261" s="1">
        <v>0</v>
      </c>
    </row>
    <row r="262" spans="1:9" ht="24" customHeight="1" x14ac:dyDescent="0.25">
      <c r="A262" s="1" t="str">
        <v>2036-10-24</v>
      </c>
      <c r="B262" s="1" t="str">
        <v>FixedRateCoupon</v>
      </c>
      <c r="C262" s="12">
        <v>1032.4404864717242</v>
      </c>
      <c r="D262" s="11">
        <v>0</v>
      </c>
      <c r="E262" s="13">
        <v>8.3333333333333329E-2</v>
      </c>
      <c r="F262" s="1" t="str">
        <v>EUR</v>
      </c>
      <c r="G262" s="11">
        <v>0</v>
      </c>
      <c r="H262" s="11">
        <v>0</v>
      </c>
      <c r="I262" s="1">
        <v>0</v>
      </c>
    </row>
    <row r="263" spans="1:9" ht="24" customHeight="1" x14ac:dyDescent="0.25">
      <c r="A263" s="1" t="str">
        <v>2036-10-24</v>
      </c>
      <c r="B263" s="1" t="str">
        <v>Redemption</v>
      </c>
      <c r="C263" s="12">
        <v>480.17235707360669</v>
      </c>
      <c r="D263" s="11">
        <v>0</v>
      </c>
      <c r="E263" s="13">
        <v>0</v>
      </c>
      <c r="F263" s="1" t="str">
        <v>EUR</v>
      </c>
      <c r="G263" s="11">
        <v>0</v>
      </c>
      <c r="H263" s="11">
        <v>0</v>
      </c>
      <c r="I263" s="1">
        <v>0</v>
      </c>
    </row>
    <row r="264" spans="1:9" ht="24" customHeight="1" x14ac:dyDescent="0.25">
      <c r="A264" s="1" t="str">
        <v>2036-11-24</v>
      </c>
      <c r="B264" s="1" t="str">
        <v>FixedRateCoupon</v>
      </c>
      <c r="C264" s="12">
        <v>1064.3742788425679</v>
      </c>
      <c r="D264" s="11">
        <v>0</v>
      </c>
      <c r="E264" s="13">
        <v>8.611111111111111E-2</v>
      </c>
      <c r="F264" s="1" t="str">
        <v>EUR</v>
      </c>
      <c r="G264" s="11">
        <v>0</v>
      </c>
      <c r="H264" s="11">
        <v>0</v>
      </c>
      <c r="I264" s="1">
        <v>0</v>
      </c>
    </row>
    <row r="265" spans="1:9" ht="24" customHeight="1" x14ac:dyDescent="0.25">
      <c r="A265" s="1" t="str">
        <v>2036-11-24</v>
      </c>
      <c r="B265" s="1" t="str">
        <v>Redemption</v>
      </c>
      <c r="C265" s="12">
        <v>448.2385647027113</v>
      </c>
      <c r="D265" s="11">
        <v>0</v>
      </c>
      <c r="E265" s="13">
        <v>0</v>
      </c>
      <c r="F265" s="1" t="str">
        <v>EUR</v>
      </c>
      <c r="G265" s="11">
        <v>0</v>
      </c>
      <c r="H265" s="11">
        <v>0</v>
      </c>
      <c r="I265" s="1">
        <v>0</v>
      </c>
    </row>
    <row r="266" spans="1:9" ht="24" customHeight="1" x14ac:dyDescent="0.25">
      <c r="A266" s="1" t="str">
        <v>2036-12-24</v>
      </c>
      <c r="B266" s="1" t="str">
        <v>FixedRateCoupon</v>
      </c>
      <c r="C266" s="12">
        <v>1027.7984318628426</v>
      </c>
      <c r="D266" s="11">
        <v>0</v>
      </c>
      <c r="E266" s="13">
        <v>8.3333333333333329E-2</v>
      </c>
      <c r="F266" s="1" t="str">
        <v>EUR</v>
      </c>
      <c r="G266" s="11">
        <v>0</v>
      </c>
      <c r="H266" s="11">
        <v>0</v>
      </c>
      <c r="I266" s="1">
        <v>0</v>
      </c>
    </row>
    <row r="267" spans="1:9" ht="24" customHeight="1" x14ac:dyDescent="0.25">
      <c r="A267" s="1" t="str">
        <v>2036-12-24</v>
      </c>
      <c r="B267" s="1" t="str">
        <v>Redemption</v>
      </c>
      <c r="C267" s="12">
        <v>484.81441168248421</v>
      </c>
      <c r="D267" s="11">
        <v>0</v>
      </c>
      <c r="E267" s="13">
        <v>0</v>
      </c>
      <c r="F267" s="1" t="str">
        <v>EUR</v>
      </c>
      <c r="G267" s="11">
        <v>0</v>
      </c>
      <c r="H267" s="11">
        <v>0</v>
      </c>
      <c r="I267" s="1">
        <v>0</v>
      </c>
    </row>
    <row r="268" spans="1:9" ht="24" customHeight="1" x14ac:dyDescent="0.25">
      <c r="A268" s="1" t="str">
        <v>2037-01-24</v>
      </c>
      <c r="B268" s="1" t="str">
        <v>FixedRateCoupon</v>
      </c>
      <c r="C268" s="12">
        <v>1059.5535051312445</v>
      </c>
      <c r="D268" s="11">
        <v>0</v>
      </c>
      <c r="E268" s="13">
        <v>8.611111111111111E-2</v>
      </c>
      <c r="F268" s="1" t="str">
        <v>EUR</v>
      </c>
      <c r="G268" s="11">
        <v>0</v>
      </c>
      <c r="H268" s="11">
        <v>0</v>
      </c>
      <c r="I268" s="1">
        <v>0</v>
      </c>
    </row>
    <row r="269" spans="1:9" ht="24" customHeight="1" x14ac:dyDescent="0.25">
      <c r="A269" s="1" t="str">
        <v>2037-01-24</v>
      </c>
      <c r="B269" s="1" t="str">
        <v>Redemption</v>
      </c>
      <c r="C269" s="12">
        <v>453.05933841405204</v>
      </c>
      <c r="D269" s="11">
        <v>0</v>
      </c>
      <c r="E269" s="13">
        <v>0</v>
      </c>
      <c r="F269" s="1" t="str">
        <v>EUR</v>
      </c>
      <c r="G269" s="11">
        <v>0</v>
      </c>
      <c r="H269" s="11">
        <v>0</v>
      </c>
      <c r="I269" s="1">
        <v>0</v>
      </c>
    </row>
    <row r="270" spans="1:9" ht="24" customHeight="1" x14ac:dyDescent="0.25">
      <c r="A270" s="1" t="str">
        <v>2037-02-24</v>
      </c>
      <c r="B270" s="1" t="str">
        <v>FixedRateCoupon</v>
      </c>
      <c r="C270" s="12">
        <v>1057.2126985494388</v>
      </c>
      <c r="D270" s="11">
        <v>0</v>
      </c>
      <c r="E270" s="13">
        <v>8.611111111111111E-2</v>
      </c>
      <c r="F270" s="1" t="str">
        <v>EUR</v>
      </c>
      <c r="G270" s="11">
        <v>0</v>
      </c>
      <c r="H270" s="11">
        <v>0</v>
      </c>
      <c r="I270" s="1">
        <v>0</v>
      </c>
    </row>
    <row r="271" spans="1:9" ht="24" customHeight="1" x14ac:dyDescent="0.25">
      <c r="A271" s="1" t="str">
        <v>2037-02-24</v>
      </c>
      <c r="B271" s="1" t="str">
        <v>Redemption</v>
      </c>
      <c r="C271" s="12">
        <v>455.40014499585959</v>
      </c>
      <c r="D271" s="11">
        <v>0</v>
      </c>
      <c r="E271" s="13">
        <v>0</v>
      </c>
      <c r="F271" s="1" t="str">
        <v>EUR</v>
      </c>
      <c r="G271" s="11">
        <v>0</v>
      </c>
      <c r="H271" s="11">
        <v>0</v>
      </c>
      <c r="I271" s="1">
        <v>0</v>
      </c>
    </row>
    <row r="272" spans="1:9" ht="24" customHeight="1" x14ac:dyDescent="0.25">
      <c r="A272" s="1" t="str">
        <v>2037-03-24</v>
      </c>
      <c r="B272" s="1" t="str">
        <v>FixedRateCoupon</v>
      </c>
      <c r="C272" s="12">
        <v>952.77659156155528</v>
      </c>
      <c r="D272" s="11">
        <v>0</v>
      </c>
      <c r="E272" s="13">
        <v>7.7777777777777779E-2</v>
      </c>
      <c r="F272" s="1" t="str">
        <v>EUR</v>
      </c>
      <c r="G272" s="11">
        <v>0</v>
      </c>
      <c r="H272" s="11">
        <v>0</v>
      </c>
      <c r="I272" s="1">
        <v>0</v>
      </c>
    </row>
    <row r="273" spans="1:9" ht="24" customHeight="1" x14ac:dyDescent="0.25">
      <c r="A273" s="1" t="str">
        <v>2037-03-24</v>
      </c>
      <c r="B273" s="1" t="str">
        <v>Redemption</v>
      </c>
      <c r="C273" s="12">
        <v>559.83625198376831</v>
      </c>
      <c r="D273" s="11">
        <v>0</v>
      </c>
      <c r="E273" s="13">
        <v>0</v>
      </c>
      <c r="F273" s="1" t="str">
        <v>EUR</v>
      </c>
      <c r="G273" s="11">
        <v>0</v>
      </c>
      <c r="H273" s="11">
        <v>0</v>
      </c>
      <c r="I273" s="1">
        <v>0</v>
      </c>
    </row>
    <row r="274" spans="1:9" ht="24" customHeight="1" x14ac:dyDescent="0.25">
      <c r="A274" s="1" t="str">
        <v>2037-04-24</v>
      </c>
      <c r="B274" s="1" t="str">
        <v>FixedRateCoupon</v>
      </c>
      <c r="C274" s="12">
        <v>1051.9673104983772</v>
      </c>
      <c r="D274" s="11">
        <v>0</v>
      </c>
      <c r="E274" s="13">
        <v>8.611111111111111E-2</v>
      </c>
      <c r="F274" s="1" t="str">
        <v>EUR</v>
      </c>
      <c r="G274" s="11">
        <v>0</v>
      </c>
      <c r="H274" s="11">
        <v>0</v>
      </c>
      <c r="I274" s="1">
        <v>0</v>
      </c>
    </row>
    <row r="275" spans="1:9" ht="24" customHeight="1" x14ac:dyDescent="0.25">
      <c r="A275" s="1" t="str">
        <v>2037-04-24</v>
      </c>
      <c r="B275" s="1" t="str">
        <v>Redemption</v>
      </c>
      <c r="C275" s="12">
        <v>460.64553304691799</v>
      </c>
      <c r="D275" s="11">
        <v>0</v>
      </c>
      <c r="E275" s="13">
        <v>0</v>
      </c>
      <c r="F275" s="1" t="str">
        <v>EUR</v>
      </c>
      <c r="G275" s="11">
        <v>0</v>
      </c>
      <c r="H275" s="11">
        <v>0</v>
      </c>
      <c r="I275" s="1">
        <v>0</v>
      </c>
    </row>
    <row r="276" spans="1:9" ht="24" customHeight="1" x14ac:dyDescent="0.25">
      <c r="A276" s="1" t="str">
        <v>2037-05-24</v>
      </c>
      <c r="B276" s="1" t="str">
        <v>FixedRateCoupon</v>
      </c>
      <c r="C276" s="12">
        <v>1015.7296534622271</v>
      </c>
      <c r="D276" s="11">
        <v>0</v>
      </c>
      <c r="E276" s="13">
        <v>8.3333333333333329E-2</v>
      </c>
      <c r="F276" s="1" t="str">
        <v>EUR</v>
      </c>
      <c r="G276" s="11">
        <v>0</v>
      </c>
      <c r="H276" s="11">
        <v>0</v>
      </c>
      <c r="I276" s="1">
        <v>0</v>
      </c>
    </row>
    <row r="277" spans="1:9" ht="24" customHeight="1" x14ac:dyDescent="0.25">
      <c r="A277" s="1" t="str">
        <v>2037-05-24</v>
      </c>
      <c r="B277" s="1" t="str">
        <v>Redemption</v>
      </c>
      <c r="C277" s="12">
        <v>496.88319008311373</v>
      </c>
      <c r="D277" s="11">
        <v>0</v>
      </c>
      <c r="E277" s="13">
        <v>0</v>
      </c>
      <c r="F277" s="1" t="str">
        <v>EUR</v>
      </c>
      <c r="G277" s="11">
        <v>0</v>
      </c>
      <c r="H277" s="11">
        <v>0</v>
      </c>
      <c r="I277" s="1">
        <v>0</v>
      </c>
    </row>
    <row r="278" spans="1:9" ht="24" customHeight="1" x14ac:dyDescent="0.25">
      <c r="A278" s="1" t="str">
        <v>2037-06-24</v>
      </c>
      <c r="B278" s="1" t="str">
        <v>FixedRateCoupon</v>
      </c>
      <c r="C278" s="12">
        <v>1047.0200787622055</v>
      </c>
      <c r="D278" s="11">
        <v>0</v>
      </c>
      <c r="E278" s="13">
        <v>8.611111111111111E-2</v>
      </c>
      <c r="F278" s="1" t="str">
        <v>EUR</v>
      </c>
      <c r="G278" s="11">
        <v>0</v>
      </c>
      <c r="H278" s="11">
        <v>0</v>
      </c>
      <c r="I278" s="1">
        <v>0</v>
      </c>
    </row>
    <row r="279" spans="1:9" ht="24" customHeight="1" x14ac:dyDescent="0.25">
      <c r="A279" s="1" t="str">
        <v>2037-06-24</v>
      </c>
      <c r="B279" s="1" t="str">
        <v>Redemption</v>
      </c>
      <c r="C279" s="12">
        <v>465.59276478306856</v>
      </c>
      <c r="D279" s="11">
        <v>0</v>
      </c>
      <c r="E279" s="13">
        <v>0</v>
      </c>
      <c r="F279" s="1" t="str">
        <v>EUR</v>
      </c>
      <c r="G279" s="11">
        <v>0</v>
      </c>
      <c r="H279" s="11">
        <v>0</v>
      </c>
      <c r="I279" s="1">
        <v>0</v>
      </c>
    </row>
    <row r="280" spans="1:9" ht="24" customHeight="1" x14ac:dyDescent="0.25">
      <c r="A280" s="1" t="str">
        <v>2037-07-24</v>
      </c>
      <c r="B280" s="1" t="str">
        <v>FixedRateCoupon</v>
      </c>
      <c r="C280" s="12">
        <v>1010.9172736878962</v>
      </c>
      <c r="D280" s="11">
        <v>0</v>
      </c>
      <c r="E280" s="13">
        <v>8.3333333333333329E-2</v>
      </c>
      <c r="F280" s="1" t="str">
        <v>EUR</v>
      </c>
      <c r="G280" s="11">
        <v>0</v>
      </c>
      <c r="H280" s="11">
        <v>0</v>
      </c>
      <c r="I280" s="1">
        <v>0</v>
      </c>
    </row>
    <row r="281" spans="1:9" ht="24" customHeight="1" x14ac:dyDescent="0.25">
      <c r="A281" s="1" t="str">
        <v>2037-07-24</v>
      </c>
      <c r="B281" s="1" t="str">
        <v>Redemption</v>
      </c>
      <c r="C281" s="12">
        <v>501.69556985743111</v>
      </c>
      <c r="D281" s="11">
        <v>0</v>
      </c>
      <c r="E281" s="13">
        <v>0</v>
      </c>
      <c r="F281" s="1" t="str">
        <v>EUR</v>
      </c>
      <c r="G281" s="11">
        <v>0</v>
      </c>
      <c r="H281" s="11">
        <v>0</v>
      </c>
      <c r="I281" s="1">
        <v>0</v>
      </c>
    </row>
    <row r="282" spans="1:9" ht="24" customHeight="1" x14ac:dyDescent="0.25">
      <c r="A282" s="1" t="str">
        <v>2037-08-24</v>
      </c>
      <c r="B282" s="1" t="str">
        <v>FixedRateCoupon</v>
      </c>
      <c r="C282" s="12">
        <v>1042.0224223665628</v>
      </c>
      <c r="D282" s="11">
        <v>0</v>
      </c>
      <c r="E282" s="13">
        <v>8.611111111111111E-2</v>
      </c>
      <c r="F282" s="1" t="str">
        <v>EUR</v>
      </c>
      <c r="G282" s="11">
        <v>0</v>
      </c>
      <c r="H282" s="11">
        <v>0</v>
      </c>
      <c r="I282" s="1">
        <v>0</v>
      </c>
    </row>
    <row r="283" spans="1:9" ht="24" customHeight="1" x14ac:dyDescent="0.25">
      <c r="A283" s="1" t="str">
        <v>2037-08-24</v>
      </c>
      <c r="B283" s="1" t="str">
        <v>Redemption</v>
      </c>
      <c r="C283" s="12">
        <v>470.59042117872741</v>
      </c>
      <c r="D283" s="11">
        <v>0</v>
      </c>
      <c r="E283" s="13">
        <v>0</v>
      </c>
      <c r="F283" s="1" t="str">
        <v>EUR</v>
      </c>
      <c r="G283" s="11">
        <v>0</v>
      </c>
      <c r="H283" s="11">
        <v>0</v>
      </c>
      <c r="I283" s="1">
        <v>0</v>
      </c>
    </row>
    <row r="284" spans="1:9" ht="24" customHeight="1" x14ac:dyDescent="0.25">
      <c r="A284" s="1" t="str">
        <v>2037-09-24</v>
      </c>
      <c r="B284" s="1" t="str">
        <v>FixedRateCoupon</v>
      </c>
      <c r="C284" s="12">
        <v>1039.591038523806</v>
      </c>
      <c r="D284" s="11">
        <v>0</v>
      </c>
      <c r="E284" s="13">
        <v>8.611111111111111E-2</v>
      </c>
      <c r="F284" s="1" t="str">
        <v>EUR</v>
      </c>
      <c r="G284" s="11">
        <v>0</v>
      </c>
      <c r="H284" s="11">
        <v>0</v>
      </c>
      <c r="I284" s="1">
        <v>0</v>
      </c>
    </row>
    <row r="285" spans="1:9" ht="24" customHeight="1" x14ac:dyDescent="0.25">
      <c r="A285" s="1" t="str">
        <v>2037-09-24</v>
      </c>
      <c r="B285" s="1" t="str">
        <v>Redemption</v>
      </c>
      <c r="C285" s="12">
        <v>473.0218050214753</v>
      </c>
      <c r="D285" s="11">
        <v>0</v>
      </c>
      <c r="E285" s="13">
        <v>0</v>
      </c>
      <c r="F285" s="1" t="str">
        <v>EUR</v>
      </c>
      <c r="G285" s="11">
        <v>0</v>
      </c>
      <c r="H285" s="11">
        <v>0</v>
      </c>
      <c r="I285" s="1">
        <v>0</v>
      </c>
    </row>
    <row r="286" spans="1:9" ht="24" customHeight="1" x14ac:dyDescent="0.25">
      <c r="A286" s="1" t="str">
        <v>2037-10-24</v>
      </c>
      <c r="B286" s="1" t="str">
        <v>FixedRateCoupon</v>
      </c>
      <c r="C286" s="12">
        <v>1003.690734707608</v>
      </c>
      <c r="D286" s="11">
        <v>0</v>
      </c>
      <c r="E286" s="13">
        <v>8.3333333333333329E-2</v>
      </c>
      <c r="F286" s="1" t="str">
        <v>EUR</v>
      </c>
      <c r="G286" s="11">
        <v>0</v>
      </c>
      <c r="H286" s="11">
        <v>0</v>
      </c>
      <c r="I286" s="1">
        <v>0</v>
      </c>
    </row>
    <row r="287" spans="1:9" ht="24" customHeight="1" x14ac:dyDescent="0.25">
      <c r="A287" s="1" t="str">
        <v>2037-10-24</v>
      </c>
      <c r="B287" s="1" t="str">
        <v>Redemption</v>
      </c>
      <c r="C287" s="12">
        <v>508.9221088377235</v>
      </c>
      <c r="D287" s="11">
        <v>0</v>
      </c>
      <c r="E287" s="13">
        <v>0</v>
      </c>
      <c r="F287" s="1" t="str">
        <v>EUR</v>
      </c>
      <c r="G287" s="11">
        <v>0</v>
      </c>
      <c r="H287" s="11">
        <v>0</v>
      </c>
      <c r="I287" s="1">
        <v>0</v>
      </c>
    </row>
    <row r="288" spans="1:9" ht="24" customHeight="1" x14ac:dyDescent="0.25">
      <c r="A288" s="1" t="str">
        <v>2037-11-24</v>
      </c>
      <c r="B288" s="1" t="str">
        <v>FixedRateCoupon</v>
      </c>
      <c r="C288" s="12">
        <v>1034.5176616355336</v>
      </c>
      <c r="D288" s="11">
        <v>0</v>
      </c>
      <c r="E288" s="13">
        <v>8.611111111111111E-2</v>
      </c>
      <c r="F288" s="1" t="str">
        <v>EUR</v>
      </c>
      <c r="G288" s="11">
        <v>0</v>
      </c>
      <c r="H288" s="11">
        <v>0</v>
      </c>
      <c r="I288" s="1">
        <v>0</v>
      </c>
    </row>
    <row r="289" spans="1:9" ht="24" customHeight="1" x14ac:dyDescent="0.25">
      <c r="A289" s="1" t="str">
        <v>2037-11-24</v>
      </c>
      <c r="B289" s="1" t="str">
        <v>Redemption</v>
      </c>
      <c r="C289" s="12">
        <v>478.09518190973904</v>
      </c>
      <c r="D289" s="11">
        <v>0</v>
      </c>
      <c r="E289" s="13">
        <v>0</v>
      </c>
      <c r="F289" s="1" t="str">
        <v>EUR</v>
      </c>
      <c r="G289" s="11">
        <v>0</v>
      </c>
      <c r="H289" s="11">
        <v>0</v>
      </c>
      <c r="I289" s="1">
        <v>0</v>
      </c>
    </row>
    <row r="290" spans="1:9" ht="24" customHeight="1" x14ac:dyDescent="0.25">
      <c r="A290" s="1" t="str">
        <v>2037-12-24</v>
      </c>
      <c r="B290" s="1" t="str">
        <v>FixedRateCoupon</v>
      </c>
      <c r="C290" s="12">
        <v>998.75564825387085</v>
      </c>
      <c r="D290" s="11">
        <v>0</v>
      </c>
      <c r="E290" s="13">
        <v>8.3333333333333329E-2</v>
      </c>
      <c r="F290" s="1" t="str">
        <v>EUR</v>
      </c>
      <c r="G290" s="11">
        <v>0</v>
      </c>
      <c r="H290" s="11">
        <v>0</v>
      </c>
      <c r="I290" s="1">
        <v>0</v>
      </c>
    </row>
    <row r="291" spans="1:9" ht="24" customHeight="1" x14ac:dyDescent="0.25">
      <c r="A291" s="1" t="str">
        <v>2037-12-24</v>
      </c>
      <c r="B291" s="1" t="str">
        <v>Redemption</v>
      </c>
      <c r="C291" s="12">
        <v>513.85719529146445</v>
      </c>
      <c r="D291" s="11">
        <v>0</v>
      </c>
      <c r="E291" s="13">
        <v>0</v>
      </c>
      <c r="F291" s="1" t="str">
        <v>EUR</v>
      </c>
      <c r="G291" s="11">
        <v>0</v>
      </c>
      <c r="H291" s="11">
        <v>0</v>
      </c>
      <c r="I291" s="1">
        <v>0</v>
      </c>
    </row>
    <row r="292" spans="1:9" ht="24" customHeight="1" x14ac:dyDescent="0.25">
      <c r="A292" s="1" t="str">
        <v>2038-01-24</v>
      </c>
      <c r="B292" s="1" t="str">
        <v>FixedRateCoupon</v>
      </c>
      <c r="C292" s="12">
        <v>1029.3925743533273</v>
      </c>
      <c r="D292" s="11">
        <v>0</v>
      </c>
      <c r="E292" s="13">
        <v>8.611111111111111E-2</v>
      </c>
      <c r="F292" s="1" t="str">
        <v>EUR</v>
      </c>
      <c r="G292" s="11">
        <v>0</v>
      </c>
      <c r="H292" s="11">
        <v>0</v>
      </c>
      <c r="I292" s="1">
        <v>0</v>
      </c>
    </row>
    <row r="293" spans="1:9" ht="24" customHeight="1" x14ac:dyDescent="0.25">
      <c r="A293" s="1" t="str">
        <v>2038-01-24</v>
      </c>
      <c r="B293" s="1" t="str">
        <v>Redemption</v>
      </c>
      <c r="C293" s="12">
        <v>483.22026919195196</v>
      </c>
      <c r="D293" s="11">
        <v>0</v>
      </c>
      <c r="E293" s="13">
        <v>0</v>
      </c>
      <c r="F293" s="1" t="str">
        <v>EUR</v>
      </c>
      <c r="G293" s="11">
        <v>0</v>
      </c>
      <c r="H293" s="11">
        <v>0</v>
      </c>
      <c r="I293" s="1">
        <v>0</v>
      </c>
    </row>
    <row r="294" spans="1:9" ht="24" customHeight="1" x14ac:dyDescent="0.25">
      <c r="A294" s="1" t="str">
        <v>2038-02-24</v>
      </c>
      <c r="B294" s="1" t="str">
        <v>FixedRateCoupon</v>
      </c>
      <c r="C294" s="12">
        <v>1026.8959362958356</v>
      </c>
      <c r="D294" s="11">
        <v>0</v>
      </c>
      <c r="E294" s="13">
        <v>8.611111111111111E-2</v>
      </c>
      <c r="F294" s="1" t="str">
        <v>EUR</v>
      </c>
      <c r="G294" s="11">
        <v>0</v>
      </c>
      <c r="H294" s="11">
        <v>0</v>
      </c>
      <c r="I294" s="1">
        <v>0</v>
      </c>
    </row>
    <row r="295" spans="1:9" ht="24" customHeight="1" x14ac:dyDescent="0.25">
      <c r="A295" s="1" t="str">
        <v>2038-02-24</v>
      </c>
      <c r="B295" s="1" t="str">
        <v>Redemption</v>
      </c>
      <c r="C295" s="12">
        <v>485.71690724944347</v>
      </c>
      <c r="D295" s="11">
        <v>0</v>
      </c>
      <c r="E295" s="13">
        <v>0</v>
      </c>
      <c r="F295" s="1" t="str">
        <v>EUR</v>
      </c>
      <c r="G295" s="11">
        <v>0</v>
      </c>
      <c r="H295" s="11">
        <v>0</v>
      </c>
      <c r="I295" s="1">
        <v>0</v>
      </c>
    </row>
    <row r="296" spans="1:9" ht="24" customHeight="1" x14ac:dyDescent="0.25">
      <c r="A296" s="1" t="str">
        <v>2038-03-24</v>
      </c>
      <c r="B296" s="1" t="str">
        <v>FixedRateCoupon</v>
      </c>
      <c r="C296" s="12">
        <v>925.25223130219285</v>
      </c>
      <c r="D296" s="11">
        <v>0</v>
      </c>
      <c r="E296" s="13">
        <v>7.7777777777777779E-2</v>
      </c>
      <c r="F296" s="1" t="str">
        <v>EUR</v>
      </c>
      <c r="G296" s="11">
        <v>0</v>
      </c>
      <c r="H296" s="11">
        <v>0</v>
      </c>
      <c r="I296" s="1">
        <v>0</v>
      </c>
    </row>
    <row r="297" spans="1:9" ht="24" customHeight="1" x14ac:dyDescent="0.25">
      <c r="A297" s="1" t="str">
        <v>2038-03-24</v>
      </c>
      <c r="B297" s="1" t="str">
        <v>Redemption</v>
      </c>
      <c r="C297" s="12">
        <v>587.36061224312289</v>
      </c>
      <c r="D297" s="11">
        <v>0</v>
      </c>
      <c r="E297" s="13">
        <v>0</v>
      </c>
      <c r="F297" s="1" t="str">
        <v>EUR</v>
      </c>
      <c r="G297" s="11">
        <v>0</v>
      </c>
      <c r="H297" s="11">
        <v>0</v>
      </c>
      <c r="I297" s="1">
        <v>0</v>
      </c>
    </row>
    <row r="298" spans="1:9" ht="24" customHeight="1" x14ac:dyDescent="0.25">
      <c r="A298" s="1" t="str">
        <v>2038-04-24</v>
      </c>
      <c r="B298" s="1" t="str">
        <v>FixedRateCoupon</v>
      </c>
      <c r="C298" s="12">
        <v>1021.3517024451239</v>
      </c>
      <c r="D298" s="11">
        <v>0</v>
      </c>
      <c r="E298" s="13">
        <v>8.611111111111111E-2</v>
      </c>
      <c r="F298" s="1" t="str">
        <v>EUR</v>
      </c>
      <c r="G298" s="11">
        <v>0</v>
      </c>
      <c r="H298" s="11">
        <v>0</v>
      </c>
      <c r="I298" s="1">
        <v>0</v>
      </c>
    </row>
    <row r="299" spans="1:9" ht="24" customHeight="1" x14ac:dyDescent="0.25">
      <c r="A299" s="1" t="str">
        <v>2038-04-24</v>
      </c>
      <c r="B299" s="1" t="str">
        <v>Redemption</v>
      </c>
      <c r="C299" s="12">
        <v>491.26114110017079</v>
      </c>
      <c r="D299" s="11">
        <v>0</v>
      </c>
      <c r="E299" s="13">
        <v>0</v>
      </c>
      <c r="F299" s="1" t="str">
        <v>EUR</v>
      </c>
      <c r="G299" s="11">
        <v>0</v>
      </c>
      <c r="H299" s="11">
        <v>0</v>
      </c>
      <c r="I299" s="1">
        <v>0</v>
      </c>
    </row>
    <row r="300" spans="1:9" ht="24" customHeight="1" x14ac:dyDescent="0.25">
      <c r="A300" s="1" t="str">
        <v>2038-05-24</v>
      </c>
      <c r="B300" s="1" t="str">
        <v>FixedRateCoupon</v>
      </c>
      <c r="C300" s="12">
        <v>985.94856762848997</v>
      </c>
      <c r="D300" s="11">
        <v>0</v>
      </c>
      <c r="E300" s="13">
        <v>8.3333333333333329E-2</v>
      </c>
      <c r="F300" s="1" t="str">
        <v>EUR</v>
      </c>
      <c r="G300" s="11">
        <v>0</v>
      </c>
      <c r="H300" s="11">
        <v>0</v>
      </c>
      <c r="I300" s="1">
        <v>0</v>
      </c>
    </row>
    <row r="301" spans="1:9" ht="24" customHeight="1" x14ac:dyDescent="0.25">
      <c r="A301" s="1" t="str">
        <v>2038-05-24</v>
      </c>
      <c r="B301" s="1" t="str">
        <v>Redemption</v>
      </c>
      <c r="C301" s="12">
        <v>526.66427591684624</v>
      </c>
      <c r="D301" s="11">
        <v>0</v>
      </c>
      <c r="E301" s="13">
        <v>0</v>
      </c>
      <c r="F301" s="1" t="str">
        <v>EUR</v>
      </c>
      <c r="G301" s="11">
        <v>0</v>
      </c>
      <c r="H301" s="11">
        <v>0</v>
      </c>
      <c r="I301" s="1">
        <v>0</v>
      </c>
    </row>
    <row r="302" spans="1:9" ht="24" customHeight="1" x14ac:dyDescent="0.25">
      <c r="A302" s="1" t="str">
        <v>2038-06-24</v>
      </c>
      <c r="B302" s="1" t="str">
        <v>FixedRateCoupon</v>
      </c>
      <c r="C302" s="12">
        <v>1016.0924211238694</v>
      </c>
      <c r="D302" s="11">
        <v>0</v>
      </c>
      <c r="E302" s="13">
        <v>8.611111111111111E-2</v>
      </c>
      <c r="F302" s="1" t="str">
        <v>EUR</v>
      </c>
      <c r="G302" s="11">
        <v>0</v>
      </c>
      <c r="H302" s="11">
        <v>0</v>
      </c>
      <c r="I302" s="1">
        <v>0</v>
      </c>
    </row>
    <row r="303" spans="1:9" ht="24" customHeight="1" x14ac:dyDescent="0.25">
      <c r="A303" s="1" t="str">
        <v>2038-06-24</v>
      </c>
      <c r="B303" s="1" t="str">
        <v>Redemption</v>
      </c>
      <c r="C303" s="12">
        <v>496.52042242142488</v>
      </c>
      <c r="D303" s="11">
        <v>0</v>
      </c>
      <c r="E303" s="13">
        <v>0</v>
      </c>
      <c r="F303" s="1" t="str">
        <v>EUR</v>
      </c>
      <c r="G303" s="11">
        <v>0</v>
      </c>
      <c r="H303" s="11">
        <v>0</v>
      </c>
      <c r="I303" s="1">
        <v>0</v>
      </c>
    </row>
    <row r="304" spans="1:9" ht="24" customHeight="1" x14ac:dyDescent="0.25">
      <c r="A304" s="1" t="str">
        <v>2038-07-24</v>
      </c>
      <c r="B304" s="1" t="str">
        <v>FixedRateCoupon</v>
      </c>
      <c r="C304" s="12">
        <v>980.83264413679876</v>
      </c>
      <c r="D304" s="11">
        <v>0</v>
      </c>
      <c r="E304" s="13">
        <v>8.3333333333333329E-2</v>
      </c>
      <c r="F304" s="1" t="str">
        <v>EUR</v>
      </c>
      <c r="G304" s="11">
        <v>0</v>
      </c>
      <c r="H304" s="11">
        <v>0</v>
      </c>
      <c r="I304" s="1">
        <v>0</v>
      </c>
    </row>
    <row r="305" spans="1:9" ht="24" customHeight="1" x14ac:dyDescent="0.25">
      <c r="A305" s="1" t="str">
        <v>2038-07-24</v>
      </c>
      <c r="B305" s="1" t="str">
        <v>Redemption</v>
      </c>
      <c r="C305" s="12">
        <v>531.78019940853119</v>
      </c>
      <c r="D305" s="11">
        <v>0</v>
      </c>
      <c r="E305" s="13">
        <v>0</v>
      </c>
      <c r="F305" s="1" t="str">
        <v>EUR</v>
      </c>
      <c r="G305" s="11">
        <v>0</v>
      </c>
      <c r="H305" s="11">
        <v>0</v>
      </c>
      <c r="I305" s="1">
        <v>0</v>
      </c>
    </row>
    <row r="306" spans="1:9" ht="24" customHeight="1" x14ac:dyDescent="0.25">
      <c r="A306" s="1" t="str">
        <v>2038-08-24</v>
      </c>
      <c r="B306" s="1" t="str">
        <v>FixedRateCoupon</v>
      </c>
      <c r="C306" s="12">
        <v>1010.779534577748</v>
      </c>
      <c r="D306" s="11">
        <v>0</v>
      </c>
      <c r="E306" s="13">
        <v>8.611111111111111E-2</v>
      </c>
      <c r="F306" s="1" t="str">
        <v>EUR</v>
      </c>
      <c r="G306" s="11">
        <v>0</v>
      </c>
      <c r="H306" s="11">
        <v>0</v>
      </c>
      <c r="I306" s="1">
        <v>0</v>
      </c>
    </row>
    <row r="307" spans="1:9" ht="24" customHeight="1" x14ac:dyDescent="0.25">
      <c r="A307" s="1" t="str">
        <v>2038-08-24</v>
      </c>
      <c r="B307" s="1" t="str">
        <v>Redemption</v>
      </c>
      <c r="C307" s="12">
        <v>501.83330896752886</v>
      </c>
      <c r="D307" s="11">
        <v>0</v>
      </c>
      <c r="E307" s="13">
        <v>0</v>
      </c>
      <c r="F307" s="1" t="str">
        <v>EUR</v>
      </c>
      <c r="G307" s="11">
        <v>0</v>
      </c>
      <c r="H307" s="11">
        <v>0</v>
      </c>
      <c r="I307" s="1">
        <v>0</v>
      </c>
    </row>
    <row r="308" spans="1:9" ht="24" customHeight="1" x14ac:dyDescent="0.25">
      <c r="A308" s="1" t="str">
        <v>2038-09-24</v>
      </c>
      <c r="B308" s="1" t="str">
        <v>FixedRateCoupon</v>
      </c>
      <c r="C308" s="12">
        <v>1008.1867291480825</v>
      </c>
      <c r="D308" s="11">
        <v>0</v>
      </c>
      <c r="E308" s="13">
        <v>8.611111111111111E-2</v>
      </c>
      <c r="F308" s="1" t="str">
        <v>EUR</v>
      </c>
      <c r="G308" s="11">
        <v>0</v>
      </c>
      <c r="H308" s="11">
        <v>0</v>
      </c>
      <c r="I308" s="1">
        <v>0</v>
      </c>
    </row>
    <row r="309" spans="1:9" ht="24" customHeight="1" x14ac:dyDescent="0.25">
      <c r="A309" s="1" t="str">
        <v>2038-09-24</v>
      </c>
      <c r="B309" s="1" t="str">
        <v>Redemption</v>
      </c>
      <c r="C309" s="12">
        <v>504.42611439721077</v>
      </c>
      <c r="D309" s="11">
        <v>0</v>
      </c>
      <c r="E309" s="13">
        <v>0</v>
      </c>
      <c r="F309" s="1" t="str">
        <v>EUR</v>
      </c>
      <c r="G309" s="11">
        <v>0</v>
      </c>
      <c r="H309" s="11">
        <v>0</v>
      </c>
      <c r="I309" s="1">
        <v>0</v>
      </c>
    </row>
    <row r="310" spans="1:9" ht="24" customHeight="1" x14ac:dyDescent="0.25">
      <c r="A310" s="1" t="str">
        <v>2038-10-24</v>
      </c>
      <c r="B310" s="1" t="str">
        <v>FixedRateCoupon</v>
      </c>
      <c r="C310" s="12">
        <v>973.14244602293229</v>
      </c>
      <c r="D310" s="11">
        <v>0</v>
      </c>
      <c r="E310" s="13">
        <v>8.3333333333333329E-2</v>
      </c>
      <c r="F310" s="1" t="str">
        <v>EUR</v>
      </c>
      <c r="G310" s="11">
        <v>0</v>
      </c>
      <c r="H310" s="11">
        <v>0</v>
      </c>
      <c r="I310" s="1">
        <v>0</v>
      </c>
    </row>
    <row r="311" spans="1:9" ht="24" customHeight="1" x14ac:dyDescent="0.25">
      <c r="A311" s="1" t="str">
        <v>2038-10-24</v>
      </c>
      <c r="B311" s="1" t="str">
        <v>Redemption</v>
      </c>
      <c r="C311" s="12">
        <v>539.47039752238197</v>
      </c>
      <c r="D311" s="11">
        <v>0</v>
      </c>
      <c r="E311" s="13">
        <v>0</v>
      </c>
      <c r="F311" s="1" t="str">
        <v>EUR</v>
      </c>
      <c r="G311" s="11">
        <v>0</v>
      </c>
      <c r="H311" s="11">
        <v>0</v>
      </c>
      <c r="I311" s="1">
        <v>0</v>
      </c>
    </row>
    <row r="312" spans="1:9" ht="24" customHeight="1" x14ac:dyDescent="0.25">
      <c r="A312" s="1" t="str">
        <v>2038-11-24</v>
      </c>
      <c r="B312" s="1" t="str">
        <v>FixedRateCoupon</v>
      </c>
      <c r="C312" s="12">
        <v>1002.7932638364978</v>
      </c>
      <c r="D312" s="11">
        <v>0</v>
      </c>
      <c r="E312" s="13">
        <v>8.611111111111111E-2</v>
      </c>
      <c r="F312" s="1" t="str">
        <v>EUR</v>
      </c>
      <c r="G312" s="11">
        <v>0</v>
      </c>
      <c r="H312" s="11">
        <v>0</v>
      </c>
      <c r="I312" s="1">
        <v>0</v>
      </c>
    </row>
    <row r="313" spans="1:9" ht="24" customHeight="1" x14ac:dyDescent="0.25">
      <c r="A313" s="1" t="str">
        <v>2038-11-24</v>
      </c>
      <c r="B313" s="1" t="str">
        <v>Redemption</v>
      </c>
      <c r="C313" s="12">
        <v>509.81957970879739</v>
      </c>
      <c r="D313" s="11">
        <v>0</v>
      </c>
      <c r="E313" s="13">
        <v>0</v>
      </c>
      <c r="F313" s="1" t="str">
        <v>EUR</v>
      </c>
      <c r="G313" s="11">
        <v>0</v>
      </c>
      <c r="H313" s="11">
        <v>0</v>
      </c>
      <c r="I313" s="1">
        <v>0</v>
      </c>
    </row>
    <row r="314" spans="1:9" ht="24" customHeight="1" x14ac:dyDescent="0.25">
      <c r="A314" s="1" t="str">
        <v>2038-12-24</v>
      </c>
      <c r="B314" s="1" t="str">
        <v>FixedRateCoupon</v>
      </c>
      <c r="C314" s="12">
        <v>967.89599613677649</v>
      </c>
      <c r="D314" s="11">
        <v>0</v>
      </c>
      <c r="E314" s="13">
        <v>8.3333333333333329E-2</v>
      </c>
      <c r="F314" s="1" t="str">
        <v>EUR</v>
      </c>
      <c r="G314" s="11">
        <v>0</v>
      </c>
      <c r="H314" s="11">
        <v>0</v>
      </c>
      <c r="I314" s="1">
        <v>0</v>
      </c>
    </row>
    <row r="315" spans="1:9" ht="24" customHeight="1" x14ac:dyDescent="0.25">
      <c r="A315" s="1" t="str">
        <v>2038-12-24</v>
      </c>
      <c r="B315" s="1" t="str">
        <v>Redemption</v>
      </c>
      <c r="C315" s="12">
        <v>544.7168474085629</v>
      </c>
      <c r="D315" s="11">
        <v>0</v>
      </c>
      <c r="E315" s="13">
        <v>0</v>
      </c>
      <c r="F315" s="1" t="str">
        <v>EUR</v>
      </c>
      <c r="G315" s="11">
        <v>0</v>
      </c>
      <c r="H315" s="11">
        <v>0</v>
      </c>
      <c r="I315" s="1">
        <v>0</v>
      </c>
    </row>
    <row r="316" spans="1:9" ht="24" customHeight="1" x14ac:dyDescent="0.25">
      <c r="A316" s="1" t="str">
        <v>2039-01-24</v>
      </c>
      <c r="B316" s="1" t="str">
        <v>FixedRateCoupon</v>
      </c>
      <c r="C316" s="12">
        <v>997.34482562972471</v>
      </c>
      <c r="D316" s="11">
        <v>0</v>
      </c>
      <c r="E316" s="13">
        <v>8.611111111111111E-2</v>
      </c>
      <c r="F316" s="1" t="str">
        <v>EUR</v>
      </c>
      <c r="G316" s="11">
        <v>0</v>
      </c>
      <c r="H316" s="11">
        <v>0</v>
      </c>
      <c r="I316" s="1">
        <v>0</v>
      </c>
    </row>
    <row r="317" spans="1:9" ht="24" customHeight="1" x14ac:dyDescent="0.25">
      <c r="A317" s="1" t="str">
        <v>2039-01-24</v>
      </c>
      <c r="B317" s="1" t="str">
        <v>Redemption</v>
      </c>
      <c r="C317" s="12">
        <v>515.26801791557227</v>
      </c>
      <c r="D317" s="11">
        <v>0</v>
      </c>
      <c r="E317" s="13">
        <v>0</v>
      </c>
      <c r="F317" s="1" t="str">
        <v>EUR</v>
      </c>
      <c r="G317" s="11">
        <v>0</v>
      </c>
      <c r="H317" s="11">
        <v>0</v>
      </c>
      <c r="I317" s="1">
        <v>0</v>
      </c>
    </row>
    <row r="318" spans="1:9" ht="24" customHeight="1" x14ac:dyDescent="0.25">
      <c r="A318" s="1" t="str">
        <v>2039-02-24</v>
      </c>
      <c r="B318" s="1" t="str">
        <v>FixedRateCoupon</v>
      </c>
      <c r="C318" s="12">
        <v>994.68260753716106</v>
      </c>
      <c r="D318" s="11">
        <v>0</v>
      </c>
      <c r="E318" s="13">
        <v>8.611111111111111E-2</v>
      </c>
      <c r="F318" s="1" t="str">
        <v>EUR</v>
      </c>
      <c r="G318" s="11">
        <v>0</v>
      </c>
      <c r="H318" s="11">
        <v>0</v>
      </c>
      <c r="I318" s="1">
        <v>0</v>
      </c>
    </row>
    <row r="319" spans="1:9" ht="24" customHeight="1" x14ac:dyDescent="0.25">
      <c r="A319" s="1" t="str">
        <v>2039-02-24</v>
      </c>
      <c r="B319" s="1" t="str">
        <v>Redemption</v>
      </c>
      <c r="C319" s="12">
        <v>517.93023600813467</v>
      </c>
      <c r="D319" s="11">
        <v>0</v>
      </c>
      <c r="E319" s="13">
        <v>0</v>
      </c>
      <c r="F319" s="1" t="str">
        <v>EUR</v>
      </c>
      <c r="G319" s="11">
        <v>0</v>
      </c>
      <c r="H319" s="11">
        <v>0</v>
      </c>
      <c r="I319" s="1">
        <v>0</v>
      </c>
    </row>
    <row r="320" spans="1:9" ht="24" customHeight="1" x14ac:dyDescent="0.25">
      <c r="A320" s="1" t="str">
        <v>2039-03-24</v>
      </c>
      <c r="B320" s="1" t="str">
        <v>FixedRateCoupon</v>
      </c>
      <c r="C320" s="12">
        <v>896.00599258810746</v>
      </c>
      <c r="D320" s="11">
        <v>0</v>
      </c>
      <c r="E320" s="13">
        <v>7.7777777777777779E-2</v>
      </c>
      <c r="F320" s="1" t="str">
        <v>EUR</v>
      </c>
      <c r="G320" s="11">
        <v>0</v>
      </c>
      <c r="H320" s="11">
        <v>0</v>
      </c>
      <c r="I320" s="1">
        <v>0</v>
      </c>
    </row>
    <row r="321" spans="1:9" ht="24" customHeight="1" x14ac:dyDescent="0.25">
      <c r="A321" s="1" t="str">
        <v>2039-03-24</v>
      </c>
      <c r="B321" s="1" t="str">
        <v>Redemption</v>
      </c>
      <c r="C321" s="12">
        <v>616.60685095720692</v>
      </c>
      <c r="D321" s="11">
        <v>0</v>
      </c>
      <c r="E321" s="13">
        <v>0</v>
      </c>
      <c r="F321" s="1" t="str">
        <v>EUR</v>
      </c>
      <c r="G321" s="11">
        <v>0</v>
      </c>
      <c r="H321" s="11">
        <v>0</v>
      </c>
      <c r="I321" s="1">
        <v>0</v>
      </c>
    </row>
    <row r="322" spans="1:9" ht="24" customHeight="1" x14ac:dyDescent="0.25">
      <c r="A322" s="1" t="str">
        <v>2039-04-24</v>
      </c>
      <c r="B322" s="1" t="str">
        <v>FixedRateCoupon</v>
      </c>
      <c r="C322" s="12">
        <v>988.82083258784007</v>
      </c>
      <c r="D322" s="11">
        <v>0</v>
      </c>
      <c r="E322" s="13">
        <v>8.611111111111111E-2</v>
      </c>
      <c r="F322" s="1" t="str">
        <v>EUR</v>
      </c>
      <c r="G322" s="11">
        <v>0</v>
      </c>
      <c r="H322" s="11">
        <v>0</v>
      </c>
      <c r="I322" s="1">
        <v>0</v>
      </c>
    </row>
    <row r="323" spans="1:9" ht="24" customHeight="1" x14ac:dyDescent="0.25">
      <c r="A323" s="1" t="str">
        <v>2039-04-24</v>
      </c>
      <c r="B323" s="1" t="str">
        <v>Redemption</v>
      </c>
      <c r="C323" s="12">
        <v>523.79201095743338</v>
      </c>
      <c r="D323" s="11">
        <v>0</v>
      </c>
      <c r="E323" s="13">
        <v>0</v>
      </c>
      <c r="F323" s="1" t="str">
        <v>EUR</v>
      </c>
      <c r="G323" s="11">
        <v>0</v>
      </c>
      <c r="H323" s="11">
        <v>0</v>
      </c>
      <c r="I323" s="1">
        <v>0</v>
      </c>
    </row>
    <row r="324" spans="1:9" ht="24" customHeight="1" x14ac:dyDescent="0.25">
      <c r="A324" s="1" t="str">
        <v>2039-05-24</v>
      </c>
      <c r="B324" s="1" t="str">
        <v>FixedRateCoupon</v>
      </c>
      <c r="C324" s="12">
        <v>954.30442632054189</v>
      </c>
      <c r="D324" s="11">
        <v>0</v>
      </c>
      <c r="E324" s="13">
        <v>8.3333333333333329E-2</v>
      </c>
      <c r="F324" s="1" t="str">
        <v>EUR</v>
      </c>
      <c r="G324" s="11">
        <v>0</v>
      </c>
      <c r="H324" s="11">
        <v>0</v>
      </c>
      <c r="I324" s="1">
        <v>0</v>
      </c>
    </row>
    <row r="325" spans="1:9" ht="24" customHeight="1" x14ac:dyDescent="0.25">
      <c r="A325" s="1" t="str">
        <v>2039-05-24</v>
      </c>
      <c r="B325" s="1" t="str">
        <v>Redemption</v>
      </c>
      <c r="C325" s="12">
        <v>558.3084172247909</v>
      </c>
      <c r="D325" s="11">
        <v>0</v>
      </c>
      <c r="E325" s="13">
        <v>0</v>
      </c>
      <c r="F325" s="1" t="str">
        <v>EUR</v>
      </c>
      <c r="G325" s="11">
        <v>0</v>
      </c>
      <c r="H325" s="11">
        <v>0</v>
      </c>
      <c r="I325" s="1">
        <v>0</v>
      </c>
    </row>
    <row r="326" spans="1:9" ht="24" customHeight="1" x14ac:dyDescent="0.25">
      <c r="A326" s="1" t="str">
        <v>2039-06-24</v>
      </c>
      <c r="B326" s="1" t="str">
        <v>FixedRateCoupon</v>
      </c>
      <c r="C326" s="12">
        <v>983.22998037556522</v>
      </c>
      <c r="D326" s="11">
        <v>0</v>
      </c>
      <c r="E326" s="13">
        <v>8.611111111111111E-2</v>
      </c>
      <c r="F326" s="1" t="str">
        <v>EUR</v>
      </c>
      <c r="G326" s="11">
        <v>0</v>
      </c>
      <c r="H326" s="11">
        <v>0</v>
      </c>
      <c r="I326" s="1">
        <v>0</v>
      </c>
    </row>
    <row r="327" spans="1:9" ht="24" customHeight="1" x14ac:dyDescent="0.25">
      <c r="A327" s="1" t="str">
        <v>2039-06-24</v>
      </c>
      <c r="B327" s="1" t="str">
        <v>Redemption</v>
      </c>
      <c r="C327" s="12">
        <v>529.38286316971062</v>
      </c>
      <c r="D327" s="11">
        <v>0</v>
      </c>
      <c r="E327" s="13">
        <v>0</v>
      </c>
      <c r="F327" s="1" t="str">
        <v>EUR</v>
      </c>
      <c r="G327" s="11">
        <v>0</v>
      </c>
      <c r="H327" s="11">
        <v>0</v>
      </c>
      <c r="I327" s="1">
        <v>0</v>
      </c>
    </row>
    <row r="328" spans="1:9" ht="24" customHeight="1" x14ac:dyDescent="0.25">
      <c r="A328" s="1" t="str">
        <v>2039-07-24</v>
      </c>
      <c r="B328" s="1" t="str">
        <v>FixedRateCoupon</v>
      </c>
      <c r="C328" s="12">
        <v>948.86596991856936</v>
      </c>
      <c r="D328" s="11">
        <v>0</v>
      </c>
      <c r="E328" s="13">
        <v>8.3333333333333329E-2</v>
      </c>
      <c r="F328" s="1" t="str">
        <v>EUR</v>
      </c>
      <c r="G328" s="11">
        <v>0</v>
      </c>
      <c r="H328" s="11">
        <v>0</v>
      </c>
      <c r="I328" s="1">
        <v>0</v>
      </c>
    </row>
    <row r="329" spans="1:9" ht="24" customHeight="1" x14ac:dyDescent="0.25">
      <c r="A329" s="1" t="str">
        <v>2039-07-24</v>
      </c>
      <c r="B329" s="1" t="str">
        <v>Redemption</v>
      </c>
      <c r="C329" s="12">
        <v>563.7468736267474</v>
      </c>
      <c r="D329" s="11">
        <v>0</v>
      </c>
      <c r="E329" s="13">
        <v>0</v>
      </c>
      <c r="F329" s="1" t="str">
        <v>EUR</v>
      </c>
      <c r="G329" s="11">
        <v>0</v>
      </c>
      <c r="H329" s="11">
        <v>0</v>
      </c>
      <c r="I329" s="1">
        <v>0</v>
      </c>
    </row>
    <row r="330" spans="1:9" ht="24" customHeight="1" x14ac:dyDescent="0.25">
      <c r="A330" s="1" t="str">
        <v>2039-08-24</v>
      </c>
      <c r="B330" s="1" t="str">
        <v>FixedRateCoupon</v>
      </c>
      <c r="C330" s="12">
        <v>977.58214340211691</v>
      </c>
      <c r="D330" s="11">
        <v>0</v>
      </c>
      <c r="E330" s="13">
        <v>8.611111111111111E-2</v>
      </c>
      <c r="F330" s="1" t="str">
        <v>EUR</v>
      </c>
      <c r="G330" s="11">
        <v>0</v>
      </c>
      <c r="H330" s="11">
        <v>0</v>
      </c>
      <c r="I330" s="1">
        <v>0</v>
      </c>
    </row>
    <row r="331" spans="1:9" ht="24" customHeight="1" x14ac:dyDescent="0.25">
      <c r="A331" s="1" t="str">
        <v>2039-08-24</v>
      </c>
      <c r="B331" s="1" t="str">
        <v>Redemption</v>
      </c>
      <c r="C331" s="12">
        <v>535.03070014316472</v>
      </c>
      <c r="D331" s="11">
        <v>0</v>
      </c>
      <c r="E331" s="13">
        <v>0</v>
      </c>
      <c r="F331" s="1" t="str">
        <v>EUR</v>
      </c>
      <c r="G331" s="11">
        <v>0</v>
      </c>
      <c r="H331" s="11">
        <v>0</v>
      </c>
      <c r="I331" s="1">
        <v>0</v>
      </c>
    </row>
    <row r="332" spans="1:9" ht="24" customHeight="1" x14ac:dyDescent="0.25">
      <c r="A332" s="1" t="str">
        <v>2039-09-24</v>
      </c>
      <c r="B332" s="1" t="str">
        <v>FixedRateCoupon</v>
      </c>
      <c r="C332" s="12">
        <v>974.81781811804387</v>
      </c>
      <c r="D332" s="11">
        <v>0</v>
      </c>
      <c r="E332" s="13">
        <v>8.611111111111111E-2</v>
      </c>
      <c r="F332" s="1" t="str">
        <v>EUR</v>
      </c>
      <c r="G332" s="11">
        <v>0</v>
      </c>
      <c r="H332" s="11">
        <v>0</v>
      </c>
      <c r="I332" s="1">
        <v>0</v>
      </c>
    </row>
    <row r="333" spans="1:9" ht="24" customHeight="1" x14ac:dyDescent="0.25">
      <c r="A333" s="1" t="str">
        <v>2039-09-24</v>
      </c>
      <c r="B333" s="1" t="str">
        <v>Redemption</v>
      </c>
      <c r="C333" s="12">
        <v>537.79502542724367</v>
      </c>
      <c r="D333" s="11">
        <v>0</v>
      </c>
      <c r="E333" s="13">
        <v>0</v>
      </c>
      <c r="F333" s="1" t="str">
        <v>EUR</v>
      </c>
      <c r="G333" s="11">
        <v>0</v>
      </c>
      <c r="H333" s="11">
        <v>0</v>
      </c>
      <c r="I333" s="1">
        <v>0</v>
      </c>
    </row>
    <row r="334" spans="1:9" ht="24" customHeight="1" x14ac:dyDescent="0.25">
      <c r="A334" s="1" t="str">
        <v>2039-10-24</v>
      </c>
      <c r="B334" s="1" t="str">
        <v>FixedRateCoupon</v>
      </c>
      <c r="C334" s="12">
        <v>940.68310692258365</v>
      </c>
      <c r="D334" s="11">
        <v>0</v>
      </c>
      <c r="E334" s="13">
        <v>8.3333333333333329E-2</v>
      </c>
      <c r="F334" s="1" t="str">
        <v>EUR</v>
      </c>
      <c r="G334" s="11">
        <v>0</v>
      </c>
      <c r="H334" s="11">
        <v>0</v>
      </c>
      <c r="I334" s="1">
        <v>0</v>
      </c>
    </row>
    <row r="335" spans="1:9" ht="24" customHeight="1" x14ac:dyDescent="0.25">
      <c r="A335" s="1" t="str">
        <v>2039-10-24</v>
      </c>
      <c r="B335" s="1" t="str">
        <v>Redemption</v>
      </c>
      <c r="C335" s="12">
        <v>571.92973662275472</v>
      </c>
      <c r="D335" s="11">
        <v>0</v>
      </c>
      <c r="E335" s="13">
        <v>0</v>
      </c>
      <c r="F335" s="1" t="str">
        <v>EUR</v>
      </c>
      <c r="G335" s="11">
        <v>0</v>
      </c>
      <c r="H335" s="11">
        <v>0</v>
      </c>
      <c r="I335" s="1">
        <v>0</v>
      </c>
    </row>
    <row r="336" spans="1:9" ht="24" customHeight="1" x14ac:dyDescent="0.25">
      <c r="A336" s="1" t="str">
        <v>2039-11-24</v>
      </c>
      <c r="B336" s="1" t="str">
        <v>FixedRateCoupon</v>
      </c>
      <c r="C336" s="12">
        <v>969.08424018078551</v>
      </c>
      <c r="D336" s="11">
        <v>0</v>
      </c>
      <c r="E336" s="13">
        <v>8.611111111111111E-2</v>
      </c>
      <c r="F336" s="1" t="str">
        <v>EUR</v>
      </c>
      <c r="G336" s="11">
        <v>0</v>
      </c>
      <c r="H336" s="11">
        <v>0</v>
      </c>
      <c r="I336" s="1">
        <v>0</v>
      </c>
    </row>
    <row r="337" spans="1:9" ht="24" customHeight="1" x14ac:dyDescent="0.25">
      <c r="A337" s="1" t="str">
        <v>2039-11-24</v>
      </c>
      <c r="B337" s="1" t="str">
        <v>Redemption</v>
      </c>
      <c r="C337" s="12">
        <v>543.52860336450976</v>
      </c>
      <c r="D337" s="11">
        <v>0</v>
      </c>
      <c r="E337" s="13">
        <v>0</v>
      </c>
      <c r="F337" s="1" t="str">
        <v>EUR</v>
      </c>
      <c r="G337" s="11">
        <v>0</v>
      </c>
      <c r="H337" s="11">
        <v>0</v>
      </c>
      <c r="I337" s="1">
        <v>0</v>
      </c>
    </row>
    <row r="338" spans="1:9" ht="24" customHeight="1" x14ac:dyDescent="0.25">
      <c r="A338" s="1" t="str">
        <v>2039-12-24</v>
      </c>
      <c r="B338" s="1" t="str">
        <v>FixedRateCoupon</v>
      </c>
      <c r="C338" s="12">
        <v>935.10581522264727</v>
      </c>
      <c r="D338" s="11">
        <v>0</v>
      </c>
      <c r="E338" s="13">
        <v>8.3333333333333329E-2</v>
      </c>
      <c r="F338" s="1" t="str">
        <v>EUR</v>
      </c>
      <c r="G338" s="11">
        <v>0</v>
      </c>
      <c r="H338" s="11">
        <v>0</v>
      </c>
      <c r="I338" s="1">
        <v>0</v>
      </c>
    </row>
    <row r="339" spans="1:9" ht="24" customHeight="1" x14ac:dyDescent="0.25">
      <c r="A339" s="1" t="str">
        <v>2039-12-24</v>
      </c>
      <c r="B339" s="1" t="str">
        <v>Redemption</v>
      </c>
      <c r="C339" s="12">
        <v>577.50702832266688</v>
      </c>
      <c r="D339" s="11">
        <v>0</v>
      </c>
      <c r="E339" s="13">
        <v>0</v>
      </c>
      <c r="F339" s="1" t="str">
        <v>EUR</v>
      </c>
      <c r="G339" s="11">
        <v>0</v>
      </c>
      <c r="H339" s="11">
        <v>0</v>
      </c>
      <c r="I339" s="1">
        <v>0</v>
      </c>
    </row>
    <row r="340" spans="1:9" ht="24" customHeight="1" x14ac:dyDescent="0.25">
      <c r="A340" s="1" t="str">
        <v>2040-01-24</v>
      </c>
      <c r="B340" s="1" t="str">
        <v>FixedRateCoupon</v>
      </c>
      <c r="C340" s="12">
        <v>963.29222275040183</v>
      </c>
      <c r="D340" s="11">
        <v>0</v>
      </c>
      <c r="E340" s="13">
        <v>8.611111111111111E-2</v>
      </c>
      <c r="F340" s="1" t="str">
        <v>EUR</v>
      </c>
      <c r="G340" s="11">
        <v>0</v>
      </c>
      <c r="H340" s="11">
        <v>0</v>
      </c>
      <c r="I340" s="1">
        <v>0</v>
      </c>
    </row>
    <row r="341" spans="1:9" ht="24" customHeight="1" x14ac:dyDescent="0.25">
      <c r="A341" s="1" t="str">
        <v>2040-01-24</v>
      </c>
      <c r="B341" s="1" t="str">
        <v>Redemption</v>
      </c>
      <c r="C341" s="12">
        <v>549.32062079489697</v>
      </c>
      <c r="D341" s="11">
        <v>0</v>
      </c>
      <c r="E341" s="13">
        <v>0</v>
      </c>
      <c r="F341" s="1" t="str">
        <v>EUR</v>
      </c>
      <c r="G341" s="11">
        <v>0</v>
      </c>
      <c r="H341" s="11">
        <v>0</v>
      </c>
      <c r="I341" s="1">
        <v>0</v>
      </c>
    </row>
    <row r="342" spans="1:9" ht="24" customHeight="1" x14ac:dyDescent="0.25">
      <c r="A342" s="1" t="str">
        <v>2040-02-24</v>
      </c>
      <c r="B342" s="1" t="str">
        <v>FixedRateCoupon</v>
      </c>
      <c r="C342" s="12">
        <v>960.45406620962808</v>
      </c>
      <c r="D342" s="11">
        <v>0</v>
      </c>
      <c r="E342" s="13">
        <v>8.611111111111111E-2</v>
      </c>
      <c r="F342" s="1" t="str">
        <v>EUR</v>
      </c>
      <c r="G342" s="11">
        <v>0</v>
      </c>
      <c r="H342" s="11">
        <v>0</v>
      </c>
      <c r="I342" s="1">
        <v>0</v>
      </c>
    </row>
    <row r="343" spans="1:9" ht="24" customHeight="1" x14ac:dyDescent="0.25">
      <c r="A343" s="1" t="str">
        <v>2040-02-24</v>
      </c>
      <c r="B343" s="1" t="str">
        <v>Redemption</v>
      </c>
      <c r="C343" s="12">
        <v>552.15877733565867</v>
      </c>
      <c r="D343" s="11">
        <v>0</v>
      </c>
      <c r="E343" s="13">
        <v>0</v>
      </c>
      <c r="F343" s="1" t="str">
        <v>EUR</v>
      </c>
      <c r="G343" s="11">
        <v>0</v>
      </c>
      <c r="H343" s="11">
        <v>0</v>
      </c>
      <c r="I343" s="1">
        <v>0</v>
      </c>
    </row>
    <row r="344" spans="1:9" ht="24" customHeight="1" x14ac:dyDescent="0.25">
      <c r="A344" s="1" t="str">
        <v>2040-03-24</v>
      </c>
      <c r="B344" s="1" t="str">
        <v>FixedRateCoupon</v>
      </c>
      <c r="C344" s="12">
        <v>895.82052032070192</v>
      </c>
      <c r="D344" s="11">
        <v>0</v>
      </c>
      <c r="E344" s="13">
        <v>8.0555555555555561E-2</v>
      </c>
      <c r="F344" s="1" t="str">
        <v>EUR</v>
      </c>
      <c r="G344" s="11">
        <v>0</v>
      </c>
      <c r="H344" s="11">
        <v>0</v>
      </c>
      <c r="I344" s="1">
        <v>0</v>
      </c>
    </row>
    <row r="345" spans="1:9" ht="24" customHeight="1" x14ac:dyDescent="0.25">
      <c r="A345" s="1" t="str">
        <v>2040-03-24</v>
      </c>
      <c r="B345" s="1" t="str">
        <v>Redemption</v>
      </c>
      <c r="C345" s="12">
        <v>616.79232322462485</v>
      </c>
      <c r="D345" s="11">
        <v>0</v>
      </c>
      <c r="E345" s="13">
        <v>0</v>
      </c>
      <c r="F345" s="1" t="str">
        <v>EUR</v>
      </c>
      <c r="G345" s="11">
        <v>0</v>
      </c>
      <c r="H345" s="11">
        <v>0</v>
      </c>
      <c r="I345" s="1">
        <v>0</v>
      </c>
    </row>
    <row r="346" spans="1:9" ht="24" customHeight="1" x14ac:dyDescent="0.25">
      <c r="A346" s="1" t="str">
        <v>2040-04-24</v>
      </c>
      <c r="B346" s="1" t="str">
        <v>FixedRateCoupon</v>
      </c>
      <c r="C346" s="12">
        <v>954.41448552340012</v>
      </c>
      <c r="D346" s="11">
        <v>0</v>
      </c>
      <c r="E346" s="13">
        <v>8.611111111111111E-2</v>
      </c>
      <c r="F346" s="1" t="str">
        <v>EUR</v>
      </c>
      <c r="G346" s="11">
        <v>0</v>
      </c>
      <c r="H346" s="11">
        <v>0</v>
      </c>
      <c r="I346" s="1">
        <v>0</v>
      </c>
    </row>
    <row r="347" spans="1:9" ht="24" customHeight="1" x14ac:dyDescent="0.25">
      <c r="A347" s="1" t="str">
        <v>2040-04-24</v>
      </c>
      <c r="B347" s="1" t="str">
        <v>Redemption</v>
      </c>
      <c r="C347" s="12">
        <v>558.19835802188027</v>
      </c>
      <c r="D347" s="11">
        <v>0</v>
      </c>
      <c r="E347" s="13">
        <v>0</v>
      </c>
      <c r="F347" s="1" t="str">
        <v>EUR</v>
      </c>
      <c r="G347" s="11">
        <v>0</v>
      </c>
      <c r="H347" s="11">
        <v>0</v>
      </c>
      <c r="I347" s="1">
        <v>0</v>
      </c>
    </row>
    <row r="348" spans="1:9" ht="24" customHeight="1" x14ac:dyDescent="0.25">
      <c r="A348" s="1" t="str">
        <v>2040-05-24</v>
      </c>
      <c r="B348" s="1" t="str">
        <v>FixedRateCoupon</v>
      </c>
      <c r="C348" s="12">
        <v>920.83592968414871</v>
      </c>
      <c r="D348" s="11">
        <v>0</v>
      </c>
      <c r="E348" s="13">
        <v>8.3333333333333329E-2</v>
      </c>
      <c r="F348" s="1" t="str">
        <v>EUR</v>
      </c>
      <c r="G348" s="11">
        <v>0</v>
      </c>
      <c r="H348" s="11">
        <v>0</v>
      </c>
      <c r="I348" s="1">
        <v>0</v>
      </c>
    </row>
    <row r="349" spans="1:9" ht="24" customHeight="1" x14ac:dyDescent="0.25">
      <c r="A349" s="1" t="str">
        <v>2040-05-24</v>
      </c>
      <c r="B349" s="1" t="str">
        <v>Redemption</v>
      </c>
      <c r="C349" s="12">
        <v>591.77691386119113</v>
      </c>
      <c r="D349" s="11">
        <v>0</v>
      </c>
      <c r="E349" s="13">
        <v>0</v>
      </c>
      <c r="F349" s="1" t="str">
        <v>EUR</v>
      </c>
      <c r="G349" s="11">
        <v>0</v>
      </c>
      <c r="H349" s="11">
        <v>0</v>
      </c>
      <c r="I349" s="1">
        <v>0</v>
      </c>
    </row>
    <row r="350" spans="1:9" ht="24" customHeight="1" x14ac:dyDescent="0.25">
      <c r="A350" s="1" t="str">
        <v>2040-06-24</v>
      </c>
      <c r="B350" s="1" t="str">
        <v>FixedRateCoupon</v>
      </c>
      <c r="C350" s="12">
        <v>948.47294661867079</v>
      </c>
      <c r="D350" s="11">
        <v>0</v>
      </c>
      <c r="E350" s="13">
        <v>8.611111111111111E-2</v>
      </c>
      <c r="F350" s="1" t="str">
        <v>EUR</v>
      </c>
      <c r="G350" s="11">
        <v>0</v>
      </c>
      <c r="H350" s="11">
        <v>0</v>
      </c>
      <c r="I350" s="1">
        <v>0</v>
      </c>
    </row>
    <row r="351" spans="1:9" ht="24" customHeight="1" x14ac:dyDescent="0.25">
      <c r="A351" s="1" t="str">
        <v>2040-06-24</v>
      </c>
      <c r="B351" s="1" t="str">
        <v>Redemption</v>
      </c>
      <c r="C351" s="12">
        <v>564.13989692661562</v>
      </c>
      <c r="D351" s="11">
        <v>0</v>
      </c>
      <c r="E351" s="13">
        <v>0</v>
      </c>
      <c r="F351" s="1" t="str">
        <v>EUR</v>
      </c>
      <c r="G351" s="11">
        <v>0</v>
      </c>
      <c r="H351" s="11">
        <v>0</v>
      </c>
      <c r="I351" s="1">
        <v>0</v>
      </c>
    </row>
    <row r="352" spans="1:9" ht="24" customHeight="1" x14ac:dyDescent="0.25">
      <c r="A352" s="1" t="str">
        <v>2040-07-24</v>
      </c>
      <c r="B352" s="1" t="str">
        <v>FixedRateCoupon</v>
      </c>
      <c r="C352" s="12">
        <v>915.05634563020953</v>
      </c>
      <c r="D352" s="11">
        <v>0</v>
      </c>
      <c r="E352" s="13">
        <v>8.3333333333333329E-2</v>
      </c>
      <c r="F352" s="1" t="str">
        <v>EUR</v>
      </c>
      <c r="G352" s="11">
        <v>0</v>
      </c>
      <c r="H352" s="11">
        <v>0</v>
      </c>
      <c r="I352" s="1">
        <v>0</v>
      </c>
    </row>
    <row r="353" spans="1:9" ht="24" customHeight="1" x14ac:dyDescent="0.25">
      <c r="A353" s="1" t="str">
        <v>2040-07-24</v>
      </c>
      <c r="B353" s="1" t="str">
        <v>Redemption</v>
      </c>
      <c r="C353" s="12">
        <v>597.55649791512405</v>
      </c>
      <c r="D353" s="11">
        <v>0</v>
      </c>
      <c r="E353" s="13">
        <v>0</v>
      </c>
      <c r="F353" s="1" t="str">
        <v>EUR</v>
      </c>
      <c r="G353" s="11">
        <v>0</v>
      </c>
      <c r="H353" s="11">
        <v>0</v>
      </c>
      <c r="I353" s="1">
        <v>0</v>
      </c>
    </row>
    <row r="354" spans="1:9" ht="24" customHeight="1" x14ac:dyDescent="0.25">
      <c r="A354" s="1" t="str">
        <v>2040-08-24</v>
      </c>
      <c r="B354" s="1" t="str">
        <v>FixedRateCoupon</v>
      </c>
      <c r="C354" s="12">
        <v>942.47084857865525</v>
      </c>
      <c r="D354" s="11">
        <v>0</v>
      </c>
      <c r="E354" s="13">
        <v>8.611111111111111E-2</v>
      </c>
      <c r="F354" s="1" t="str">
        <v>EUR</v>
      </c>
      <c r="G354" s="11">
        <v>0</v>
      </c>
      <c r="H354" s="11">
        <v>0</v>
      </c>
      <c r="I354" s="1">
        <v>0</v>
      </c>
    </row>
    <row r="355" spans="1:9" ht="24" customHeight="1" x14ac:dyDescent="0.25">
      <c r="A355" s="1" t="str">
        <v>2040-08-24</v>
      </c>
      <c r="B355" s="1" t="str">
        <v>Redemption</v>
      </c>
      <c r="C355" s="12">
        <v>570.14199496663059</v>
      </c>
      <c r="D355" s="11">
        <v>0</v>
      </c>
      <c r="E355" s="13">
        <v>0</v>
      </c>
      <c r="F355" s="1" t="str">
        <v>EUR</v>
      </c>
      <c r="G355" s="11">
        <v>0</v>
      </c>
      <c r="H355" s="11">
        <v>0</v>
      </c>
      <c r="I355" s="1">
        <v>0</v>
      </c>
    </row>
    <row r="356" spans="1:9" ht="24" customHeight="1" x14ac:dyDescent="0.25">
      <c r="A356" s="1" t="str">
        <v>2040-09-24</v>
      </c>
      <c r="B356" s="1" t="str">
        <v>FixedRateCoupon</v>
      </c>
      <c r="C356" s="12">
        <v>939.5251149379942</v>
      </c>
      <c r="D356" s="11">
        <v>0</v>
      </c>
      <c r="E356" s="13">
        <v>8.611111111111111E-2</v>
      </c>
      <c r="F356" s="1" t="str">
        <v>EUR</v>
      </c>
      <c r="G356" s="11">
        <v>0</v>
      </c>
      <c r="H356" s="11">
        <v>0</v>
      </c>
      <c r="I356" s="1">
        <v>0</v>
      </c>
    </row>
    <row r="357" spans="1:9" ht="24" customHeight="1" x14ac:dyDescent="0.25">
      <c r="A357" s="1" t="str">
        <v>2040-09-24</v>
      </c>
      <c r="B357" s="1" t="str">
        <v>Redemption</v>
      </c>
      <c r="C357" s="12">
        <v>573.08772860729368</v>
      </c>
      <c r="D357" s="11">
        <v>0</v>
      </c>
      <c r="E357" s="13">
        <v>0</v>
      </c>
      <c r="F357" s="1" t="str">
        <v>EUR</v>
      </c>
      <c r="G357" s="11">
        <v>0</v>
      </c>
      <c r="H357" s="11">
        <v>0</v>
      </c>
      <c r="I357" s="1">
        <v>0</v>
      </c>
    </row>
    <row r="358" spans="1:9" ht="24" customHeight="1" x14ac:dyDescent="0.25">
      <c r="A358" s="1" t="str">
        <v>2040-10-24</v>
      </c>
      <c r="B358" s="1" t="str">
        <v>FixedRateCoupon</v>
      </c>
      <c r="C358" s="12">
        <v>906.35241452276432</v>
      </c>
      <c r="D358" s="11">
        <v>0</v>
      </c>
      <c r="E358" s="13">
        <v>8.3333333333333329E-2</v>
      </c>
      <c r="F358" s="1" t="str">
        <v>EUR</v>
      </c>
      <c r="G358" s="11">
        <v>0</v>
      </c>
      <c r="H358" s="11">
        <v>0</v>
      </c>
      <c r="I358" s="1">
        <v>0</v>
      </c>
    </row>
    <row r="359" spans="1:9" ht="24" customHeight="1" x14ac:dyDescent="0.25">
      <c r="A359" s="1" t="str">
        <v>2040-10-24</v>
      </c>
      <c r="B359" s="1" t="str">
        <v>Redemption</v>
      </c>
      <c r="C359" s="12">
        <v>606.26042902257177</v>
      </c>
      <c r="D359" s="11">
        <v>0</v>
      </c>
      <c r="E359" s="13">
        <v>0</v>
      </c>
      <c r="F359" s="1" t="str">
        <v>EUR</v>
      </c>
      <c r="G359" s="11">
        <v>0</v>
      </c>
      <c r="H359" s="11">
        <v>0</v>
      </c>
      <c r="I359" s="1">
        <v>0</v>
      </c>
    </row>
    <row r="360" spans="1:9" ht="24" customHeight="1" x14ac:dyDescent="0.25">
      <c r="A360" s="1" t="str">
        <v>2040-11-24</v>
      </c>
      <c r="B360" s="1" t="str">
        <v>FixedRateCoupon</v>
      </c>
      <c r="C360" s="12">
        <v>933.4318161235733</v>
      </c>
      <c r="D360" s="11">
        <v>0</v>
      </c>
      <c r="E360" s="13">
        <v>8.611111111111111E-2</v>
      </c>
      <c r="F360" s="1" t="str">
        <v>EUR</v>
      </c>
      <c r="G360" s="11">
        <v>0</v>
      </c>
      <c r="H360" s="11">
        <v>0</v>
      </c>
      <c r="I360" s="1">
        <v>0</v>
      </c>
    </row>
    <row r="361" spans="1:9" ht="24" customHeight="1" x14ac:dyDescent="0.25">
      <c r="A361" s="1" t="str">
        <v>2040-11-24</v>
      </c>
      <c r="B361" s="1" t="str">
        <v>Redemption</v>
      </c>
      <c r="C361" s="12">
        <v>579.18102742172778</v>
      </c>
      <c r="D361" s="11">
        <v>0</v>
      </c>
      <c r="E361" s="13">
        <v>0</v>
      </c>
      <c r="F361" s="1" t="str">
        <v>EUR</v>
      </c>
      <c r="G361" s="11">
        <v>0</v>
      </c>
      <c r="H361" s="11">
        <v>0</v>
      </c>
      <c r="I361" s="1">
        <v>0</v>
      </c>
    </row>
    <row r="362" spans="1:9" ht="24" customHeight="1" x14ac:dyDescent="0.25">
      <c r="A362" s="1" t="str">
        <v>2040-12-24</v>
      </c>
      <c r="B362" s="1" t="str">
        <v>FixedRateCoupon</v>
      </c>
      <c r="C362" s="12">
        <v>900.42520724054282</v>
      </c>
      <c r="D362" s="11">
        <v>0</v>
      </c>
      <c r="E362" s="13">
        <v>8.3333333333333329E-2</v>
      </c>
      <c r="F362" s="1" t="str">
        <v>EUR</v>
      </c>
      <c r="G362" s="11">
        <v>0</v>
      </c>
      <c r="H362" s="11">
        <v>0</v>
      </c>
      <c r="I362" s="1">
        <v>0</v>
      </c>
    </row>
    <row r="363" spans="1:9" ht="24" customHeight="1" x14ac:dyDescent="0.25">
      <c r="A363" s="1" t="str">
        <v>2040-12-24</v>
      </c>
      <c r="B363" s="1" t="str">
        <v>Redemption</v>
      </c>
      <c r="C363" s="12">
        <v>612.18763630479225</v>
      </c>
      <c r="D363" s="11">
        <v>0</v>
      </c>
      <c r="E363" s="13">
        <v>0</v>
      </c>
      <c r="F363" s="1" t="str">
        <v>EUR</v>
      </c>
      <c r="G363" s="11">
        <v>0</v>
      </c>
      <c r="H363" s="11">
        <v>0</v>
      </c>
      <c r="I363" s="1">
        <v>0</v>
      </c>
    </row>
    <row r="364" spans="1:9" ht="24" customHeight="1" x14ac:dyDescent="0.25">
      <c r="A364" s="1" t="str">
        <v>2041-01-24</v>
      </c>
      <c r="B364" s="1" t="str">
        <v>FixedRateCoupon</v>
      </c>
      <c r="C364" s="12">
        <v>927.27641136098623</v>
      </c>
      <c r="D364" s="11">
        <v>0</v>
      </c>
      <c r="E364" s="13">
        <v>8.611111111111111E-2</v>
      </c>
      <c r="F364" s="1" t="str">
        <v>EUR</v>
      </c>
      <c r="G364" s="11">
        <v>0</v>
      </c>
      <c r="H364" s="11">
        <v>0</v>
      </c>
      <c r="I364" s="1">
        <v>0</v>
      </c>
    </row>
    <row r="365" spans="1:9" ht="24" customHeight="1" x14ac:dyDescent="0.25">
      <c r="A365" s="1" t="str">
        <v>2041-01-24</v>
      </c>
      <c r="B365" s="1" t="str">
        <v>Redemption</v>
      </c>
      <c r="C365" s="12">
        <v>585.33643218429643</v>
      </c>
      <c r="D365" s="11">
        <v>0</v>
      </c>
      <c r="E365" s="13">
        <v>0</v>
      </c>
      <c r="F365" s="1" t="str">
        <v>EUR</v>
      </c>
      <c r="G365" s="11">
        <v>0</v>
      </c>
      <c r="H365" s="11">
        <v>0</v>
      </c>
      <c r="I365" s="1">
        <v>0</v>
      </c>
    </row>
    <row r="366" spans="1:9" ht="24" customHeight="1" x14ac:dyDescent="0.25">
      <c r="A366" s="1" t="str">
        <v>2041-02-24</v>
      </c>
      <c r="B366" s="1" t="str">
        <v>FixedRateCoupon</v>
      </c>
      <c r="C366" s="12">
        <v>924.25217312803409</v>
      </c>
      <c r="D366" s="11">
        <v>0</v>
      </c>
      <c r="E366" s="13">
        <v>8.611111111111111E-2</v>
      </c>
      <c r="F366" s="1" t="str">
        <v>EUR</v>
      </c>
      <c r="G366" s="11">
        <v>0</v>
      </c>
      <c r="H366" s="11">
        <v>0</v>
      </c>
      <c r="I366" s="1">
        <v>0</v>
      </c>
    </row>
    <row r="367" spans="1:9" ht="24" customHeight="1" x14ac:dyDescent="0.25">
      <c r="A367" s="1" t="str">
        <v>2041-02-24</v>
      </c>
      <c r="B367" s="1" t="str">
        <v>Redemption</v>
      </c>
      <c r="C367" s="12">
        <v>588.36067041725619</v>
      </c>
      <c r="D367" s="11">
        <v>0</v>
      </c>
      <c r="E367" s="13">
        <v>0</v>
      </c>
      <c r="F367" s="1" t="str">
        <v>EUR</v>
      </c>
      <c r="G367" s="11">
        <v>0</v>
      </c>
      <c r="H367" s="11">
        <v>0</v>
      </c>
      <c r="I367" s="1">
        <v>0</v>
      </c>
    </row>
    <row r="368" spans="1:9" ht="24" customHeight="1" x14ac:dyDescent="0.25">
      <c r="A368" s="1" t="str">
        <v>2041-03-24</v>
      </c>
      <c r="B368" s="1" t="str">
        <v>FixedRateCoupon</v>
      </c>
      <c r="C368" s="12">
        <v>832.0627313096104</v>
      </c>
      <c r="D368" s="11">
        <v>0</v>
      </c>
      <c r="E368" s="13">
        <v>7.7777777777777779E-2</v>
      </c>
      <c r="F368" s="1" t="str">
        <v>EUR</v>
      </c>
      <c r="G368" s="11">
        <v>0</v>
      </c>
      <c r="H368" s="11">
        <v>0</v>
      </c>
      <c r="I368" s="1">
        <v>0</v>
      </c>
    </row>
    <row r="369" spans="1:9" ht="24" customHeight="1" x14ac:dyDescent="0.25">
      <c r="A369" s="1" t="str">
        <v>2041-03-24</v>
      </c>
      <c r="B369" s="1" t="str">
        <v>Redemption</v>
      </c>
      <c r="C369" s="12">
        <v>680.55011223570909</v>
      </c>
      <c r="D369" s="11">
        <v>0</v>
      </c>
      <c r="E369" s="13">
        <v>0</v>
      </c>
      <c r="F369" s="1" t="str">
        <v>EUR</v>
      </c>
      <c r="G369" s="11">
        <v>0</v>
      </c>
      <c r="H369" s="11">
        <v>0</v>
      </c>
      <c r="I369" s="1">
        <v>0</v>
      </c>
    </row>
    <row r="370" spans="1:9" ht="24" customHeight="1" x14ac:dyDescent="0.25">
      <c r="A370" s="1" t="str">
        <v>2041-04-24</v>
      </c>
      <c r="B370" s="1" t="str">
        <v>FixedRateCoupon</v>
      </c>
      <c r="C370" s="12">
        <v>917.69613408432701</v>
      </c>
      <c r="D370" s="11">
        <v>0</v>
      </c>
      <c r="E370" s="13">
        <v>8.611111111111111E-2</v>
      </c>
      <c r="F370" s="1" t="str">
        <v>EUR</v>
      </c>
      <c r="G370" s="11">
        <v>0</v>
      </c>
      <c r="H370" s="11">
        <v>0</v>
      </c>
      <c r="I370" s="1">
        <v>0</v>
      </c>
    </row>
    <row r="371" spans="1:9" ht="24" customHeight="1" x14ac:dyDescent="0.25">
      <c r="A371" s="1" t="str">
        <v>2041-04-24</v>
      </c>
      <c r="B371" s="1" t="str">
        <v>Redemption</v>
      </c>
      <c r="C371" s="12">
        <v>594.91670946095837</v>
      </c>
      <c r="D371" s="11">
        <v>0</v>
      </c>
      <c r="E371" s="13">
        <v>0</v>
      </c>
      <c r="F371" s="1" t="str">
        <v>EUR</v>
      </c>
      <c r="G371" s="11">
        <v>0</v>
      </c>
      <c r="H371" s="11">
        <v>0</v>
      </c>
      <c r="I371" s="1">
        <v>0</v>
      </c>
    </row>
    <row r="372" spans="1:9" ht="24" customHeight="1" x14ac:dyDescent="0.25">
      <c r="A372" s="1" t="str">
        <v>2041-05-24</v>
      </c>
      <c r="B372" s="1" t="str">
        <v>FixedRateCoupon</v>
      </c>
      <c r="C372" s="12">
        <v>885.11844943752783</v>
      </c>
      <c r="D372" s="11">
        <v>0</v>
      </c>
      <c r="E372" s="13">
        <v>8.3333333333333329E-2</v>
      </c>
      <c r="F372" s="1" t="str">
        <v>EUR</v>
      </c>
      <c r="G372" s="11">
        <v>0</v>
      </c>
      <c r="H372" s="11">
        <v>0</v>
      </c>
      <c r="I372" s="1">
        <v>0</v>
      </c>
    </row>
    <row r="373" spans="1:9" ht="24" customHeight="1" x14ac:dyDescent="0.25">
      <c r="A373" s="1" t="str">
        <v>2041-05-24</v>
      </c>
      <c r="B373" s="1" t="str">
        <v>Redemption</v>
      </c>
      <c r="C373" s="12">
        <v>627.49439410780906</v>
      </c>
      <c r="D373" s="11">
        <v>0</v>
      </c>
      <c r="E373" s="13">
        <v>0</v>
      </c>
      <c r="F373" s="1" t="str">
        <v>EUR</v>
      </c>
      <c r="G373" s="11">
        <v>0</v>
      </c>
      <c r="H373" s="11">
        <v>0</v>
      </c>
      <c r="I373" s="1">
        <v>0</v>
      </c>
    </row>
    <row r="374" spans="1:9" ht="24" customHeight="1" x14ac:dyDescent="0.25">
      <c r="A374" s="1" t="str">
        <v>2041-06-24</v>
      </c>
      <c r="B374" s="1" t="str">
        <v>FixedRateCoupon</v>
      </c>
      <c r="C374" s="12">
        <v>911.38034338255511</v>
      </c>
      <c r="D374" s="11">
        <v>0</v>
      </c>
      <c r="E374" s="13">
        <v>8.611111111111111E-2</v>
      </c>
      <c r="F374" s="1" t="str">
        <v>EUR</v>
      </c>
      <c r="G374" s="11">
        <v>0</v>
      </c>
      <c r="H374" s="11">
        <v>0</v>
      </c>
      <c r="I374" s="1">
        <v>0</v>
      </c>
    </row>
    <row r="375" spans="1:9" ht="24" customHeight="1" x14ac:dyDescent="0.25">
      <c r="A375" s="1" t="str">
        <v>2041-06-24</v>
      </c>
      <c r="B375" s="1" t="str">
        <v>Redemption</v>
      </c>
      <c r="C375" s="12">
        <v>601.23250016273232</v>
      </c>
      <c r="D375" s="11">
        <v>0</v>
      </c>
      <c r="E375" s="13">
        <v>0</v>
      </c>
      <c r="F375" s="1" t="str">
        <v>EUR</v>
      </c>
      <c r="G375" s="11">
        <v>0</v>
      </c>
      <c r="H375" s="11">
        <v>0</v>
      </c>
      <c r="I375" s="1">
        <v>0</v>
      </c>
    </row>
    <row r="376" spans="1:9" ht="24" customHeight="1" x14ac:dyDescent="0.25">
      <c r="A376" s="1" t="str">
        <v>2041-07-24</v>
      </c>
      <c r="B376" s="1" t="str">
        <v>FixedRateCoupon</v>
      </c>
      <c r="C376" s="12">
        <v>878.97481496617513</v>
      </c>
      <c r="D376" s="11">
        <v>0</v>
      </c>
      <c r="E376" s="13">
        <v>8.3333333333333329E-2</v>
      </c>
      <c r="F376" s="1" t="str">
        <v>EUR</v>
      </c>
      <c r="G376" s="11">
        <v>0</v>
      </c>
      <c r="H376" s="11">
        <v>0</v>
      </c>
      <c r="I376" s="1">
        <v>0</v>
      </c>
    </row>
    <row r="377" spans="1:9" ht="24" customHeight="1" x14ac:dyDescent="0.25">
      <c r="A377" s="1" t="str">
        <v>2041-07-24</v>
      </c>
      <c r="B377" s="1" t="str">
        <v>Redemption</v>
      </c>
      <c r="C377" s="12">
        <v>633.63802857915289</v>
      </c>
      <c r="D377" s="11">
        <v>0</v>
      </c>
      <c r="E377" s="13">
        <v>0</v>
      </c>
      <c r="F377" s="1" t="str">
        <v>EUR</v>
      </c>
      <c r="G377" s="11">
        <v>0</v>
      </c>
      <c r="H377" s="11">
        <v>0</v>
      </c>
      <c r="I377" s="1">
        <v>0</v>
      </c>
    </row>
    <row r="378" spans="1:9" ht="24" customHeight="1" x14ac:dyDescent="0.25">
      <c r="A378" s="1" t="str">
        <v>2041-08-24</v>
      </c>
      <c r="B378" s="1" t="str">
        <v>FixedRateCoupon</v>
      </c>
      <c r="C378" s="12">
        <v>905.00017898405531</v>
      </c>
      <c r="D378" s="11">
        <v>0</v>
      </c>
      <c r="E378" s="13">
        <v>8.611111111111111E-2</v>
      </c>
      <c r="F378" s="1" t="str">
        <v>EUR</v>
      </c>
      <c r="G378" s="11">
        <v>0</v>
      </c>
      <c r="H378" s="11">
        <v>0</v>
      </c>
      <c r="I378" s="1">
        <v>0</v>
      </c>
    </row>
    <row r="379" spans="1:9" ht="24" customHeight="1" x14ac:dyDescent="0.25">
      <c r="A379" s="1" t="str">
        <v>2041-08-24</v>
      </c>
      <c r="B379" s="1" t="str">
        <v>Redemption</v>
      </c>
      <c r="C379" s="12">
        <v>607.61266456122394</v>
      </c>
      <c r="D379" s="11">
        <v>0</v>
      </c>
      <c r="E379" s="13">
        <v>0</v>
      </c>
      <c r="F379" s="1" t="str">
        <v>EUR</v>
      </c>
      <c r="G379" s="11">
        <v>0</v>
      </c>
      <c r="H379" s="11">
        <v>0</v>
      </c>
      <c r="I379" s="1">
        <v>0</v>
      </c>
    </row>
    <row r="380" spans="1:9" ht="24" customHeight="1" x14ac:dyDescent="0.25">
      <c r="A380" s="1" t="str">
        <v>2041-09-24</v>
      </c>
      <c r="B380" s="1" t="str">
        <v>FixedRateCoupon</v>
      </c>
      <c r="C380" s="12">
        <v>901.86084688382232</v>
      </c>
      <c r="D380" s="11">
        <v>0</v>
      </c>
      <c r="E380" s="13">
        <v>8.611111111111111E-2</v>
      </c>
      <c r="F380" s="1" t="str">
        <v>EUR</v>
      </c>
      <c r="G380" s="11">
        <v>0</v>
      </c>
      <c r="H380" s="11">
        <v>0</v>
      </c>
      <c r="I380" s="1">
        <v>0</v>
      </c>
    </row>
    <row r="381" spans="1:9" ht="24" customHeight="1" x14ac:dyDescent="0.25">
      <c r="A381" s="1" t="str">
        <v>2041-09-24</v>
      </c>
      <c r="B381" s="1" t="str">
        <v>Redemption</v>
      </c>
      <c r="C381" s="12">
        <v>610.75199666147819</v>
      </c>
      <c r="D381" s="11">
        <v>0</v>
      </c>
      <c r="E381" s="13">
        <v>0</v>
      </c>
      <c r="F381" s="1" t="str">
        <v>EUR</v>
      </c>
      <c r="G381" s="11">
        <v>0</v>
      </c>
      <c r="H381" s="11">
        <v>0</v>
      </c>
      <c r="I381" s="1">
        <v>0</v>
      </c>
    </row>
    <row r="382" spans="1:9" ht="24" customHeight="1" x14ac:dyDescent="0.25">
      <c r="A382" s="1" t="str">
        <v>2041-10-24</v>
      </c>
      <c r="B382" s="1" t="str">
        <v>FixedRateCoupon</v>
      </c>
      <c r="C382" s="12">
        <v>869.71480151716582</v>
      </c>
      <c r="D382" s="11">
        <v>0</v>
      </c>
      <c r="E382" s="13">
        <v>8.3333333333333329E-2</v>
      </c>
      <c r="F382" s="1" t="str">
        <v>EUR</v>
      </c>
      <c r="G382" s="11">
        <v>0</v>
      </c>
      <c r="H382" s="11">
        <v>0</v>
      </c>
      <c r="I382" s="1">
        <v>0</v>
      </c>
    </row>
    <row r="383" spans="1:9" ht="24" customHeight="1" x14ac:dyDescent="0.25">
      <c r="A383" s="1" t="str">
        <v>2041-10-24</v>
      </c>
      <c r="B383" s="1" t="str">
        <v>Redemption</v>
      </c>
      <c r="C383" s="12">
        <v>642.89804202815867</v>
      </c>
      <c r="D383" s="11">
        <v>0</v>
      </c>
      <c r="E383" s="13">
        <v>0</v>
      </c>
      <c r="F383" s="1" t="str">
        <v>EUR</v>
      </c>
      <c r="G383" s="11">
        <v>0</v>
      </c>
      <c r="H383" s="11">
        <v>0</v>
      </c>
      <c r="I383" s="1">
        <v>0</v>
      </c>
    </row>
    <row r="384" spans="1:9" ht="24" customHeight="1" x14ac:dyDescent="0.25">
      <c r="A384" s="1" t="str">
        <v>2041-11-24</v>
      </c>
      <c r="B384" s="1" t="str">
        <v>FixedRateCoupon</v>
      </c>
      <c r="C384" s="12">
        <v>895.38365501725923</v>
      </c>
      <c r="D384" s="11">
        <v>0</v>
      </c>
      <c r="E384" s="13">
        <v>8.611111111111111E-2</v>
      </c>
      <c r="F384" s="1" t="str">
        <v>EUR</v>
      </c>
      <c r="G384" s="11">
        <v>0</v>
      </c>
      <c r="H384" s="11">
        <v>0</v>
      </c>
      <c r="I384" s="1">
        <v>0</v>
      </c>
    </row>
    <row r="385" spans="1:9" ht="24" customHeight="1" x14ac:dyDescent="0.25">
      <c r="A385" s="1" t="str">
        <v>2041-11-24</v>
      </c>
      <c r="B385" s="1" t="str">
        <v>Redemption</v>
      </c>
      <c r="C385" s="12">
        <v>617.22918852802832</v>
      </c>
      <c r="D385" s="11">
        <v>0</v>
      </c>
      <c r="E385" s="13">
        <v>0</v>
      </c>
      <c r="F385" s="1" t="str">
        <v>EUR</v>
      </c>
      <c r="G385" s="11">
        <v>0</v>
      </c>
      <c r="H385" s="11">
        <v>0</v>
      </c>
      <c r="I385" s="1">
        <v>0</v>
      </c>
    </row>
    <row r="386" spans="1:9" ht="24" customHeight="1" x14ac:dyDescent="0.25">
      <c r="A386" s="1" t="str">
        <v>2041-12-24</v>
      </c>
      <c r="B386" s="1" t="str">
        <v>FixedRateCoupon</v>
      </c>
      <c r="C386" s="12">
        <v>863.41416536438487</v>
      </c>
      <c r="D386" s="11">
        <v>0</v>
      </c>
      <c r="E386" s="13">
        <v>8.3333333333333329E-2</v>
      </c>
      <c r="F386" s="1" t="str">
        <v>EUR</v>
      </c>
      <c r="G386" s="11">
        <v>0</v>
      </c>
      <c r="H386" s="11">
        <v>0</v>
      </c>
      <c r="I386" s="1">
        <v>0</v>
      </c>
    </row>
    <row r="387" spans="1:9" ht="24" customHeight="1" x14ac:dyDescent="0.25">
      <c r="A387" s="1" t="str">
        <v>2041-12-24</v>
      </c>
      <c r="B387" s="1" t="str">
        <v>Redemption</v>
      </c>
      <c r="C387" s="12">
        <v>649.19867818095372</v>
      </c>
      <c r="D387" s="11">
        <v>0</v>
      </c>
      <c r="E387" s="13">
        <v>0</v>
      </c>
      <c r="F387" s="1" t="str">
        <v>EUR</v>
      </c>
      <c r="G387" s="11">
        <v>0</v>
      </c>
      <c r="H387" s="11">
        <v>0</v>
      </c>
      <c r="I387" s="1">
        <v>0</v>
      </c>
    </row>
    <row r="388" spans="1:9" ht="24" customHeight="1" x14ac:dyDescent="0.25">
      <c r="A388" s="1" t="str">
        <v>2042-01-24</v>
      </c>
      <c r="B388" s="1" t="str">
        <v>FixedRateCoupon</v>
      </c>
      <c r="C388" s="12">
        <v>888.84044437259627</v>
      </c>
      <c r="D388" s="11">
        <v>0</v>
      </c>
      <c r="E388" s="13">
        <v>8.611111111111111E-2</v>
      </c>
      <c r="F388" s="1" t="str">
        <v>EUR</v>
      </c>
      <c r="G388" s="11">
        <v>0</v>
      </c>
      <c r="H388" s="11">
        <v>0</v>
      </c>
      <c r="I388" s="1">
        <v>0</v>
      </c>
    </row>
    <row r="389" spans="1:9" ht="24" customHeight="1" x14ac:dyDescent="0.25">
      <c r="A389" s="1" t="str">
        <v>2042-01-24</v>
      </c>
      <c r="B389" s="1" t="str">
        <v>Redemption</v>
      </c>
      <c r="C389" s="12">
        <v>623.77239917268162</v>
      </c>
      <c r="D389" s="11">
        <v>0</v>
      </c>
      <c r="E389" s="13">
        <v>0</v>
      </c>
      <c r="F389" s="1" t="str">
        <v>EUR</v>
      </c>
      <c r="G389" s="11">
        <v>0</v>
      </c>
      <c r="H389" s="11">
        <v>0</v>
      </c>
      <c r="I389" s="1">
        <v>0</v>
      </c>
    </row>
    <row r="390" spans="1:9" ht="24" customHeight="1" x14ac:dyDescent="0.25">
      <c r="A390" s="1" t="str">
        <v>2042-02-24</v>
      </c>
      <c r="B390" s="1" t="str">
        <v>FixedRateCoupon</v>
      </c>
      <c r="C390" s="12">
        <v>885.61762031020396</v>
      </c>
      <c r="D390" s="11">
        <v>0</v>
      </c>
      <c r="E390" s="13">
        <v>8.611111111111111E-2</v>
      </c>
      <c r="F390" s="1" t="str">
        <v>EUR</v>
      </c>
      <c r="G390" s="11">
        <v>0</v>
      </c>
      <c r="H390" s="11">
        <v>0</v>
      </c>
      <c r="I390" s="1">
        <v>0</v>
      </c>
    </row>
    <row r="391" spans="1:9" ht="24" customHeight="1" x14ac:dyDescent="0.25">
      <c r="A391" s="1" t="str">
        <v>2042-02-24</v>
      </c>
      <c r="B391" s="1" t="str">
        <v>Redemption</v>
      </c>
      <c r="C391" s="12">
        <v>626.99522323507699</v>
      </c>
      <c r="D391" s="11">
        <v>0</v>
      </c>
      <c r="E391" s="13">
        <v>0</v>
      </c>
      <c r="F391" s="1" t="str">
        <v>EUR</v>
      </c>
      <c r="G391" s="11">
        <v>0</v>
      </c>
      <c r="H391" s="11">
        <v>0</v>
      </c>
      <c r="I391" s="1">
        <v>0</v>
      </c>
    </row>
    <row r="392" spans="1:9" ht="24" customHeight="1" x14ac:dyDescent="0.25">
      <c r="A392" s="1" t="str">
        <v>2042-03-24</v>
      </c>
      <c r="B392" s="1" t="str">
        <v>FixedRateCoupon</v>
      </c>
      <c r="C392" s="12">
        <v>796.98671160401204</v>
      </c>
      <c r="D392" s="11">
        <v>0</v>
      </c>
      <c r="E392" s="13">
        <v>7.7777777777777779E-2</v>
      </c>
      <c r="F392" s="1" t="str">
        <v>EUR</v>
      </c>
      <c r="G392" s="11">
        <v>0</v>
      </c>
      <c r="H392" s="11">
        <v>0</v>
      </c>
      <c r="I392" s="1">
        <v>0</v>
      </c>
    </row>
    <row r="393" spans="1:9" ht="24" customHeight="1" x14ac:dyDescent="0.25">
      <c r="A393" s="1" t="str">
        <v>2042-03-24</v>
      </c>
      <c r="B393" s="1" t="str">
        <v>Redemption</v>
      </c>
      <c r="C393" s="12">
        <v>715.62613194130245</v>
      </c>
      <c r="D393" s="11">
        <v>0</v>
      </c>
      <c r="E393" s="13">
        <v>0</v>
      </c>
      <c r="F393" s="1" t="str">
        <v>EUR</v>
      </c>
      <c r="G393" s="11">
        <v>0</v>
      </c>
      <c r="H393" s="11">
        <v>0</v>
      </c>
      <c r="I393" s="1">
        <v>0</v>
      </c>
    </row>
    <row r="394" spans="1:9" ht="24" customHeight="1" x14ac:dyDescent="0.25">
      <c r="A394" s="1" t="str">
        <v>2042-04-24</v>
      </c>
      <c r="B394" s="1" t="str">
        <v>FixedRateCoupon</v>
      </c>
      <c r="C394" s="12">
        <v>878.68074330845934</v>
      </c>
      <c r="D394" s="11">
        <v>0</v>
      </c>
      <c r="E394" s="13">
        <v>8.611111111111111E-2</v>
      </c>
      <c r="F394" s="1" t="str">
        <v>EUR</v>
      </c>
      <c r="G394" s="11">
        <v>0</v>
      </c>
      <c r="H394" s="11">
        <v>0</v>
      </c>
      <c r="I394" s="1">
        <v>0</v>
      </c>
    </row>
    <row r="395" spans="1:9" ht="24" customHeight="1" x14ac:dyDescent="0.25">
      <c r="A395" s="1" t="str">
        <v>2042-04-24</v>
      </c>
      <c r="B395" s="1" t="str">
        <v>Redemption</v>
      </c>
      <c r="C395" s="12">
        <v>633.93210023682332</v>
      </c>
      <c r="D395" s="11">
        <v>0</v>
      </c>
      <c r="E395" s="13">
        <v>0</v>
      </c>
      <c r="F395" s="1" t="str">
        <v>EUR</v>
      </c>
      <c r="G395" s="11">
        <v>0</v>
      </c>
      <c r="H395" s="11">
        <v>0</v>
      </c>
      <c r="I395" s="1">
        <v>0</v>
      </c>
    </row>
    <row r="396" spans="1:9" ht="24" customHeight="1" x14ac:dyDescent="0.25">
      <c r="A396" s="1" t="str">
        <v>2042-05-24</v>
      </c>
      <c r="B396" s="1" t="str">
        <v>FixedRateCoupon</v>
      </c>
      <c r="C396" s="12">
        <v>847.16654270055062</v>
      </c>
      <c r="D396" s="11">
        <v>0</v>
      </c>
      <c r="E396" s="13">
        <v>8.3333333333333329E-2</v>
      </c>
      <c r="F396" s="1" t="str">
        <v>EUR</v>
      </c>
      <c r="G396" s="11">
        <v>0</v>
      </c>
      <c r="H396" s="11">
        <v>0</v>
      </c>
      <c r="I396" s="1">
        <v>0</v>
      </c>
    </row>
    <row r="397" spans="1:9" ht="24" customHeight="1" x14ac:dyDescent="0.25">
      <c r="A397" s="1" t="str">
        <v>2042-05-24</v>
      </c>
      <c r="B397" s="1" t="str">
        <v>Redemption</v>
      </c>
      <c r="C397" s="12">
        <v>665.44630084477831</v>
      </c>
      <c r="D397" s="11">
        <v>0</v>
      </c>
      <c r="E397" s="13">
        <v>0</v>
      </c>
      <c r="F397" s="1" t="str">
        <v>EUR</v>
      </c>
      <c r="G397" s="11">
        <v>0</v>
      </c>
      <c r="H397" s="11">
        <v>0</v>
      </c>
      <c r="I397" s="1">
        <v>0</v>
      </c>
    </row>
    <row r="398" spans="1:9" ht="24" customHeight="1" x14ac:dyDescent="0.25">
      <c r="A398" s="1" t="str">
        <v>2042-06-24</v>
      </c>
      <c r="B398" s="1" t="str">
        <v>FixedRateCoupon</v>
      </c>
      <c r="C398" s="12">
        <v>871.96728823620435</v>
      </c>
      <c r="D398" s="11">
        <v>0</v>
      </c>
      <c r="E398" s="13">
        <v>8.611111111111111E-2</v>
      </c>
      <c r="F398" s="1" t="str">
        <v>EUR</v>
      </c>
      <c r="G398" s="11">
        <v>0</v>
      </c>
      <c r="H398" s="11">
        <v>0</v>
      </c>
      <c r="I398" s="1">
        <v>0</v>
      </c>
    </row>
    <row r="399" spans="1:9" ht="24" customHeight="1" x14ac:dyDescent="0.25">
      <c r="A399" s="1" t="str">
        <v>2042-06-24</v>
      </c>
      <c r="B399" s="1" t="str">
        <v>Redemption</v>
      </c>
      <c r="C399" s="12">
        <v>640.64555530907819</v>
      </c>
      <c r="D399" s="11">
        <v>0</v>
      </c>
      <c r="E399" s="13">
        <v>0</v>
      </c>
      <c r="F399" s="1" t="str">
        <v>EUR</v>
      </c>
      <c r="G399" s="11">
        <v>0</v>
      </c>
      <c r="H399" s="11">
        <v>0</v>
      </c>
      <c r="I399" s="1">
        <v>0</v>
      </c>
    </row>
    <row r="400" spans="1:9" ht="24" customHeight="1" x14ac:dyDescent="0.25">
      <c r="A400" s="1" t="str">
        <v>2042-07-24</v>
      </c>
      <c r="B400" s="1" t="str">
        <v>FixedRateCoupon</v>
      </c>
      <c r="C400" s="12">
        <v>840.63608341978147</v>
      </c>
      <c r="D400" s="11">
        <v>0</v>
      </c>
      <c r="E400" s="13">
        <v>8.3333333333333329E-2</v>
      </c>
      <c r="F400" s="1" t="str">
        <v>EUR</v>
      </c>
      <c r="G400" s="11">
        <v>0</v>
      </c>
      <c r="H400" s="11">
        <v>0</v>
      </c>
      <c r="I400" s="1">
        <v>0</v>
      </c>
    </row>
    <row r="401" spans="1:9" ht="24" customHeight="1" x14ac:dyDescent="0.25">
      <c r="A401" s="1" t="str">
        <v>2042-07-24</v>
      </c>
      <c r="B401" s="1" t="str">
        <v>Redemption</v>
      </c>
      <c r="C401" s="12">
        <v>671.97676012554439</v>
      </c>
      <c r="D401" s="11">
        <v>0</v>
      </c>
      <c r="E401" s="13">
        <v>0</v>
      </c>
      <c r="F401" s="1" t="str">
        <v>EUR</v>
      </c>
      <c r="G401" s="11">
        <v>0</v>
      </c>
      <c r="H401" s="11">
        <v>0</v>
      </c>
      <c r="I401" s="1">
        <v>0</v>
      </c>
    </row>
    <row r="402" spans="1:9" ht="24" customHeight="1" x14ac:dyDescent="0.25">
      <c r="A402" s="1" t="str">
        <v>2042-08-24</v>
      </c>
      <c r="B402" s="1" t="str">
        <v>FixedRateCoupon</v>
      </c>
      <c r="C402" s="12">
        <v>865.18540627312552</v>
      </c>
      <c r="D402" s="11">
        <v>0</v>
      </c>
      <c r="E402" s="13">
        <v>8.611111111111111E-2</v>
      </c>
      <c r="F402" s="1" t="str">
        <v>EUR</v>
      </c>
      <c r="G402" s="11">
        <v>0</v>
      </c>
      <c r="H402" s="11">
        <v>0</v>
      </c>
      <c r="I402" s="1">
        <v>0</v>
      </c>
    </row>
    <row r="403" spans="1:9" ht="24" customHeight="1" x14ac:dyDescent="0.25">
      <c r="A403" s="1" t="str">
        <v>2042-08-24</v>
      </c>
      <c r="B403" s="1" t="str">
        <v>Redemption</v>
      </c>
      <c r="C403" s="12">
        <v>647.42743727215566</v>
      </c>
      <c r="D403" s="11">
        <v>0</v>
      </c>
      <c r="E403" s="13">
        <v>0</v>
      </c>
      <c r="F403" s="1" t="str">
        <v>EUR</v>
      </c>
      <c r="G403" s="11">
        <v>0</v>
      </c>
      <c r="H403" s="11">
        <v>0</v>
      </c>
      <c r="I403" s="1">
        <v>0</v>
      </c>
    </row>
    <row r="404" spans="1:9" ht="24" customHeight="1" x14ac:dyDescent="0.25">
      <c r="A404" s="1" t="str">
        <v>2042-09-24</v>
      </c>
      <c r="B404" s="1" t="str">
        <v>FixedRateCoupon</v>
      </c>
      <c r="C404" s="12">
        <v>861.84036451388602</v>
      </c>
      <c r="D404" s="11">
        <v>0</v>
      </c>
      <c r="E404" s="13">
        <v>8.611111111111111E-2</v>
      </c>
      <c r="F404" s="1" t="str">
        <v>EUR</v>
      </c>
      <c r="G404" s="11">
        <v>0</v>
      </c>
      <c r="H404" s="11">
        <v>0</v>
      </c>
      <c r="I404" s="1">
        <v>0</v>
      </c>
    </row>
    <row r="405" spans="1:9" ht="24" customHeight="1" x14ac:dyDescent="0.25">
      <c r="A405" s="1" t="str">
        <v>2042-09-24</v>
      </c>
      <c r="B405" s="1" t="str">
        <v>Redemption</v>
      </c>
      <c r="C405" s="12">
        <v>650.7724790314096</v>
      </c>
      <c r="D405" s="11">
        <v>0</v>
      </c>
      <c r="E405" s="13">
        <v>0</v>
      </c>
      <c r="F405" s="1" t="str">
        <v>EUR</v>
      </c>
      <c r="G405" s="11">
        <v>0</v>
      </c>
      <c r="H405" s="11">
        <v>0</v>
      </c>
      <c r="I405" s="1">
        <v>0</v>
      </c>
    </row>
    <row r="406" spans="1:9" ht="24" customHeight="1" x14ac:dyDescent="0.25">
      <c r="A406" s="1" t="str">
        <v>2042-10-24</v>
      </c>
      <c r="B406" s="1" t="str">
        <v>FixedRateCoupon</v>
      </c>
      <c r="C406" s="12">
        <v>830.78520003763595</v>
      </c>
      <c r="D406" s="11">
        <v>0</v>
      </c>
      <c r="E406" s="13">
        <v>8.3333333333333329E-2</v>
      </c>
      <c r="F406" s="1" t="str">
        <v>EUR</v>
      </c>
      <c r="G406" s="11">
        <v>0</v>
      </c>
      <c r="H406" s="11">
        <v>0</v>
      </c>
      <c r="I406" s="1">
        <v>0</v>
      </c>
    </row>
    <row r="407" spans="1:9" ht="24" customHeight="1" x14ac:dyDescent="0.25">
      <c r="A407" s="1" t="str">
        <v>2042-10-24</v>
      </c>
      <c r="B407" s="1" t="str">
        <v>Redemption</v>
      </c>
      <c r="C407" s="12">
        <v>681.82764350768412</v>
      </c>
      <c r="D407" s="11">
        <v>0</v>
      </c>
      <c r="E407" s="13">
        <v>0</v>
      </c>
      <c r="F407" s="1" t="str">
        <v>EUR</v>
      </c>
      <c r="G407" s="11">
        <v>0</v>
      </c>
      <c r="H407" s="11">
        <v>0</v>
      </c>
      <c r="I407" s="1">
        <v>0</v>
      </c>
    </row>
    <row r="408" spans="1:9" ht="24" customHeight="1" x14ac:dyDescent="0.25">
      <c r="A408" s="1" t="str">
        <v>2042-11-24</v>
      </c>
      <c r="B408" s="1" t="str">
        <v>FixedRateCoupon</v>
      </c>
      <c r="C408" s="12">
        <v>854.95526388076735</v>
      </c>
      <c r="D408" s="11">
        <v>0</v>
      </c>
      <c r="E408" s="13">
        <v>8.611111111111111E-2</v>
      </c>
      <c r="F408" s="1" t="str">
        <v>EUR</v>
      </c>
      <c r="G408" s="11">
        <v>0</v>
      </c>
      <c r="H408" s="11">
        <v>0</v>
      </c>
      <c r="I408" s="1">
        <v>0</v>
      </c>
    </row>
    <row r="409" spans="1:9" ht="24" customHeight="1" x14ac:dyDescent="0.25">
      <c r="A409" s="1" t="str">
        <v>2042-11-24</v>
      </c>
      <c r="B409" s="1" t="str">
        <v>Redemption</v>
      </c>
      <c r="C409" s="12">
        <v>657.65757966451929</v>
      </c>
      <c r="D409" s="11">
        <v>0</v>
      </c>
      <c r="E409" s="13">
        <v>0</v>
      </c>
      <c r="F409" s="1" t="str">
        <v>EUR</v>
      </c>
      <c r="G409" s="11">
        <v>0</v>
      </c>
      <c r="H409" s="11">
        <v>0</v>
      </c>
      <c r="I409" s="1">
        <v>0</v>
      </c>
    </row>
    <row r="410" spans="1:9" ht="24" customHeight="1" x14ac:dyDescent="0.25">
      <c r="A410" s="1" t="str">
        <v>2042-12-24</v>
      </c>
      <c r="B410" s="1" t="str">
        <v>FixedRateCoupon</v>
      </c>
      <c r="C410" s="12">
        <v>824.08777392177478</v>
      </c>
      <c r="D410" s="11">
        <v>0</v>
      </c>
      <c r="E410" s="13">
        <v>8.3333333333333329E-2</v>
      </c>
      <c r="F410" s="1" t="str">
        <v>EUR</v>
      </c>
      <c r="G410" s="11">
        <v>0</v>
      </c>
      <c r="H410" s="11">
        <v>0</v>
      </c>
      <c r="I410" s="1">
        <v>0</v>
      </c>
    </row>
    <row r="411" spans="1:9" ht="24" customHeight="1" x14ac:dyDescent="0.25">
      <c r="A411" s="1" t="str">
        <v>2042-12-24</v>
      </c>
      <c r="B411" s="1" t="str">
        <v>Redemption</v>
      </c>
      <c r="C411" s="12">
        <v>688.52506962354528</v>
      </c>
      <c r="D411" s="11">
        <v>0</v>
      </c>
      <c r="E411" s="13">
        <v>0</v>
      </c>
      <c r="F411" s="1" t="str">
        <v>EUR</v>
      </c>
      <c r="G411" s="11">
        <v>0</v>
      </c>
      <c r="H411" s="11">
        <v>0</v>
      </c>
      <c r="I411" s="1">
        <v>0</v>
      </c>
    </row>
    <row r="412" spans="1:9" ht="24" customHeight="1" x14ac:dyDescent="0.25">
      <c r="A412" s="1" t="str">
        <v>2043-01-24</v>
      </c>
      <c r="B412" s="1" t="str">
        <v>FixedRateCoupon</v>
      </c>
      <c r="C412" s="12">
        <v>847.9999868594457</v>
      </c>
      <c r="D412" s="11">
        <v>0</v>
      </c>
      <c r="E412" s="13">
        <v>8.611111111111111E-2</v>
      </c>
      <c r="F412" s="1" t="str">
        <v>EUR</v>
      </c>
      <c r="G412" s="11">
        <v>0</v>
      </c>
      <c r="H412" s="11">
        <v>0</v>
      </c>
      <c r="I412" s="1">
        <v>0</v>
      </c>
    </row>
    <row r="413" spans="1:9" ht="24" customHeight="1" x14ac:dyDescent="0.25">
      <c r="A413" s="1" t="str">
        <v>2043-01-24</v>
      </c>
      <c r="B413" s="1" t="str">
        <v>Redemption</v>
      </c>
      <c r="C413" s="12">
        <v>664.61285668585333</v>
      </c>
      <c r="D413" s="11">
        <v>0</v>
      </c>
      <c r="E413" s="13">
        <v>0</v>
      </c>
      <c r="F413" s="1" t="str">
        <v>EUR</v>
      </c>
      <c r="G413" s="11">
        <v>0</v>
      </c>
      <c r="H413" s="11">
        <v>0</v>
      </c>
      <c r="I413" s="1">
        <v>0</v>
      </c>
    </row>
    <row r="414" spans="1:9" ht="24" customHeight="1" x14ac:dyDescent="0.25">
      <c r="A414" s="1" t="str">
        <v>2043-02-24</v>
      </c>
      <c r="B414" s="1" t="str">
        <v>FixedRateCoupon</v>
      </c>
      <c r="C414" s="12">
        <v>844.56615376656885</v>
      </c>
      <c r="D414" s="11">
        <v>0</v>
      </c>
      <c r="E414" s="13">
        <v>8.611111111111111E-2</v>
      </c>
      <c r="F414" s="1" t="str">
        <v>EUR</v>
      </c>
      <c r="G414" s="11">
        <v>0</v>
      </c>
      <c r="H414" s="11">
        <v>0</v>
      </c>
      <c r="I414" s="1">
        <v>0</v>
      </c>
    </row>
    <row r="415" spans="1:9" ht="24" customHeight="1" x14ac:dyDescent="0.25">
      <c r="A415" s="1" t="str">
        <v>2043-02-24</v>
      </c>
      <c r="B415" s="1" t="str">
        <v>Redemption</v>
      </c>
      <c r="C415" s="12">
        <v>668.04668977871188</v>
      </c>
      <c r="D415" s="11">
        <v>0</v>
      </c>
      <c r="E415" s="13">
        <v>0</v>
      </c>
      <c r="F415" s="1" t="str">
        <v>EUR</v>
      </c>
      <c r="G415" s="11">
        <v>0</v>
      </c>
      <c r="H415" s="11">
        <v>0</v>
      </c>
      <c r="I415" s="1">
        <v>0</v>
      </c>
    </row>
    <row r="416" spans="1:9" ht="24" customHeight="1" x14ac:dyDescent="0.25">
      <c r="A416" s="1" t="str">
        <v>2043-03-24</v>
      </c>
      <c r="B416" s="1" t="str">
        <v>FixedRateCoupon</v>
      </c>
      <c r="C416" s="12">
        <v>759.71639411857882</v>
      </c>
      <c r="D416" s="11">
        <v>0</v>
      </c>
      <c r="E416" s="13">
        <v>7.7777777777777779E-2</v>
      </c>
      <c r="F416" s="1" t="str">
        <v>EUR</v>
      </c>
      <c r="G416" s="11">
        <v>0</v>
      </c>
      <c r="H416" s="11">
        <v>0</v>
      </c>
      <c r="I416" s="1">
        <v>0</v>
      </c>
    </row>
    <row r="417" spans="1:9" ht="24" customHeight="1" x14ac:dyDescent="0.25">
      <c r="A417" s="1" t="str">
        <v>2043-03-24</v>
      </c>
      <c r="B417" s="1" t="str">
        <v>Redemption</v>
      </c>
      <c r="C417" s="12">
        <v>752.89644942674204</v>
      </c>
      <c r="D417" s="11">
        <v>0</v>
      </c>
      <c r="E417" s="13">
        <v>0</v>
      </c>
      <c r="F417" s="1" t="str">
        <v>EUR</v>
      </c>
      <c r="G417" s="11">
        <v>0</v>
      </c>
      <c r="H417" s="11">
        <v>0</v>
      </c>
      <c r="I417" s="1">
        <v>0</v>
      </c>
    </row>
    <row r="418" spans="1:9" ht="24" customHeight="1" x14ac:dyDescent="0.25">
      <c r="A418" s="1" t="str">
        <v>2043-04-24</v>
      </c>
      <c r="B418" s="1" t="str">
        <v>FixedRateCoupon</v>
      </c>
      <c r="C418" s="12">
        <v>837.22461421400726</v>
      </c>
      <c r="D418" s="11">
        <v>0</v>
      </c>
      <c r="E418" s="13">
        <v>8.611111111111111E-2</v>
      </c>
      <c r="F418" s="1" t="str">
        <v>EUR</v>
      </c>
      <c r="G418" s="11">
        <v>0</v>
      </c>
      <c r="H418" s="11">
        <v>0</v>
      </c>
      <c r="I418" s="1">
        <v>0</v>
      </c>
    </row>
    <row r="419" spans="1:9" ht="24" customHeight="1" x14ac:dyDescent="0.25">
      <c r="A419" s="1" t="str">
        <v>2043-04-24</v>
      </c>
      <c r="B419" s="1" t="str">
        <v>Redemption</v>
      </c>
      <c r="C419" s="12">
        <v>675.38822933129268</v>
      </c>
      <c r="D419" s="11">
        <v>0</v>
      </c>
      <c r="E419" s="13">
        <v>0</v>
      </c>
      <c r="F419" s="1" t="str">
        <v>EUR</v>
      </c>
      <c r="G419" s="11">
        <v>0</v>
      </c>
      <c r="H419" s="11">
        <v>0</v>
      </c>
      <c r="I419" s="1">
        <v>0</v>
      </c>
    </row>
    <row r="420" spans="1:9" ht="24" customHeight="1" x14ac:dyDescent="0.25">
      <c r="A420" s="1" t="str">
        <v>2043-05-24</v>
      </c>
      <c r="B420" s="1" t="str">
        <v>FixedRateCoupon</v>
      </c>
      <c r="C420" s="12">
        <v>806.84042744754413</v>
      </c>
      <c r="D420" s="11">
        <v>0</v>
      </c>
      <c r="E420" s="13">
        <v>8.3333333333333329E-2</v>
      </c>
      <c r="F420" s="1" t="str">
        <v>EUR</v>
      </c>
      <c r="G420" s="11">
        <v>0</v>
      </c>
      <c r="H420" s="11">
        <v>0</v>
      </c>
      <c r="I420" s="1">
        <v>0</v>
      </c>
    </row>
    <row r="421" spans="1:9" ht="24" customHeight="1" x14ac:dyDescent="0.25">
      <c r="A421" s="1" t="str">
        <v>2043-05-24</v>
      </c>
      <c r="B421" s="1" t="str">
        <v>Redemption</v>
      </c>
      <c r="C421" s="12">
        <v>705.77241609778139</v>
      </c>
      <c r="D421" s="11">
        <v>0</v>
      </c>
      <c r="E421" s="13">
        <v>0</v>
      </c>
      <c r="F421" s="1" t="str">
        <v>EUR</v>
      </c>
      <c r="G421" s="11">
        <v>0</v>
      </c>
      <c r="H421" s="11">
        <v>0</v>
      </c>
      <c r="I421" s="1">
        <v>0</v>
      </c>
    </row>
    <row r="422" spans="1:9" ht="24" customHeight="1" x14ac:dyDescent="0.25">
      <c r="A422" s="1" t="str">
        <v>2043-06-24</v>
      </c>
      <c r="B422" s="1" t="str">
        <v>FixedRateCoupon</v>
      </c>
      <c r="C422" s="12">
        <v>830.08861754595716</v>
      </c>
      <c r="D422" s="11">
        <v>0</v>
      </c>
      <c r="E422" s="13">
        <v>8.611111111111111E-2</v>
      </c>
      <c r="F422" s="1" t="str">
        <v>EUR</v>
      </c>
      <c r="G422" s="11">
        <v>0</v>
      </c>
      <c r="H422" s="11">
        <v>0</v>
      </c>
      <c r="I422" s="1">
        <v>0</v>
      </c>
    </row>
    <row r="423" spans="1:9" ht="24" customHeight="1" x14ac:dyDescent="0.25">
      <c r="A423" s="1" t="str">
        <v>2043-06-24</v>
      </c>
      <c r="B423" s="1" t="str">
        <v>Redemption</v>
      </c>
      <c r="C423" s="12">
        <v>682.52422599933925</v>
      </c>
      <c r="D423" s="11">
        <v>0</v>
      </c>
      <c r="E423" s="13">
        <v>0</v>
      </c>
      <c r="F423" s="1" t="str">
        <v>EUR</v>
      </c>
      <c r="G423" s="11">
        <v>0</v>
      </c>
      <c r="H423" s="11">
        <v>0</v>
      </c>
      <c r="I423" s="1">
        <v>0</v>
      </c>
    </row>
    <row r="424" spans="1:9" ht="24" customHeight="1" x14ac:dyDescent="0.25">
      <c r="A424" s="1" t="str">
        <v>2043-07-24</v>
      </c>
      <c r="B424" s="1" t="str">
        <v>FixedRateCoupon</v>
      </c>
      <c r="C424" s="12">
        <v>799.89894423705857</v>
      </c>
      <c r="D424" s="11">
        <v>0</v>
      </c>
      <c r="E424" s="13">
        <v>8.3333333333333329E-2</v>
      </c>
      <c r="F424" s="1" t="str">
        <v>EUR</v>
      </c>
      <c r="G424" s="11">
        <v>0</v>
      </c>
      <c r="H424" s="11">
        <v>0</v>
      </c>
      <c r="I424" s="1">
        <v>0</v>
      </c>
    </row>
    <row r="425" spans="1:9" ht="24" customHeight="1" x14ac:dyDescent="0.25">
      <c r="A425" s="1" t="str">
        <v>2043-07-24</v>
      </c>
      <c r="B425" s="1" t="str">
        <v>Redemption</v>
      </c>
      <c r="C425" s="12">
        <v>712.71389930826263</v>
      </c>
      <c r="D425" s="11">
        <v>0</v>
      </c>
      <c r="E425" s="13">
        <v>0</v>
      </c>
      <c r="F425" s="1" t="str">
        <v>EUR</v>
      </c>
      <c r="G425" s="11">
        <v>0</v>
      </c>
      <c r="H425" s="11">
        <v>0</v>
      </c>
      <c r="I425" s="1">
        <v>0</v>
      </c>
    </row>
    <row r="426" spans="1:9" ht="24" customHeight="1" x14ac:dyDescent="0.25">
      <c r="A426" s="1" t="str">
        <v>2043-08-24</v>
      </c>
      <c r="B426" s="1" t="str">
        <v>FixedRateCoupon</v>
      </c>
      <c r="C426" s="12">
        <v>822.87988723186788</v>
      </c>
      <c r="D426" s="11">
        <v>0</v>
      </c>
      <c r="E426" s="13">
        <v>8.611111111111111E-2</v>
      </c>
      <c r="F426" s="1" t="str">
        <v>EUR</v>
      </c>
      <c r="G426" s="11">
        <v>0</v>
      </c>
      <c r="H426" s="11">
        <v>0</v>
      </c>
      <c r="I426" s="1">
        <v>0</v>
      </c>
    </row>
    <row r="427" spans="1:9" ht="24" customHeight="1" x14ac:dyDescent="0.25">
      <c r="A427" s="1" t="str">
        <v>2043-08-24</v>
      </c>
      <c r="B427" s="1" t="str">
        <v>Redemption</v>
      </c>
      <c r="C427" s="12">
        <v>689.73295631341171</v>
      </c>
      <c r="D427" s="11">
        <v>0</v>
      </c>
      <c r="E427" s="13">
        <v>0</v>
      </c>
      <c r="F427" s="1" t="str">
        <v>EUR</v>
      </c>
      <c r="G427" s="11">
        <v>0</v>
      </c>
      <c r="H427" s="11">
        <v>0</v>
      </c>
      <c r="I427" s="1">
        <v>0</v>
      </c>
    </row>
    <row r="428" spans="1:9" ht="24" customHeight="1" x14ac:dyDescent="0.25">
      <c r="A428" s="1" t="str">
        <v>2043-09-24</v>
      </c>
      <c r="B428" s="1" t="str">
        <v>FixedRateCoupon</v>
      </c>
      <c r="C428" s="12">
        <v>819.31626695758189</v>
      </c>
      <c r="D428" s="11">
        <v>0</v>
      </c>
      <c r="E428" s="13">
        <v>8.611111111111111E-2</v>
      </c>
      <c r="F428" s="1" t="str">
        <v>EUR</v>
      </c>
      <c r="G428" s="11">
        <v>0</v>
      </c>
      <c r="H428" s="11">
        <v>0</v>
      </c>
      <c r="I428" s="1">
        <v>0</v>
      </c>
    </row>
    <row r="429" spans="1:9" ht="24" customHeight="1" x14ac:dyDescent="0.25">
      <c r="A429" s="1" t="str">
        <v>2043-09-24</v>
      </c>
      <c r="B429" s="1" t="str">
        <v>Redemption</v>
      </c>
      <c r="C429" s="12">
        <v>693.29657658771612</v>
      </c>
      <c r="D429" s="11">
        <v>0</v>
      </c>
      <c r="E429" s="13">
        <v>0</v>
      </c>
      <c r="F429" s="1" t="str">
        <v>EUR</v>
      </c>
      <c r="G429" s="11">
        <v>0</v>
      </c>
      <c r="H429" s="11">
        <v>0</v>
      </c>
      <c r="I429" s="1">
        <v>0</v>
      </c>
    </row>
    <row r="430" spans="1:9" ht="24" customHeight="1" x14ac:dyDescent="0.25">
      <c r="A430" s="1" t="str">
        <v>2043-10-24</v>
      </c>
      <c r="B430" s="1" t="str">
        <v>FixedRateCoupon</v>
      </c>
      <c r="C430" s="12">
        <v>789.42022707601166</v>
      </c>
      <c r="D430" s="11">
        <v>0</v>
      </c>
      <c r="E430" s="13">
        <v>8.3333333333333329E-2</v>
      </c>
      <c r="F430" s="1" t="str">
        <v>EUR</v>
      </c>
      <c r="G430" s="11">
        <v>0</v>
      </c>
      <c r="H430" s="11">
        <v>0</v>
      </c>
      <c r="I430" s="1">
        <v>0</v>
      </c>
    </row>
    <row r="431" spans="1:9" ht="24" customHeight="1" x14ac:dyDescent="0.25">
      <c r="A431" s="1" t="str">
        <v>2043-10-24</v>
      </c>
      <c r="B431" s="1" t="str">
        <v>Redemption</v>
      </c>
      <c r="C431" s="12">
        <v>723.19261646931409</v>
      </c>
      <c r="D431" s="11">
        <v>0</v>
      </c>
      <c r="E431" s="13">
        <v>0</v>
      </c>
      <c r="F431" s="1" t="str">
        <v>EUR</v>
      </c>
      <c r="G431" s="11">
        <v>0</v>
      </c>
      <c r="H431" s="11">
        <v>0</v>
      </c>
      <c r="I431" s="1">
        <v>0</v>
      </c>
    </row>
    <row r="432" spans="1:9" ht="24" customHeight="1" x14ac:dyDescent="0.25">
      <c r="A432" s="1" t="str">
        <v>2043-11-24</v>
      </c>
      <c r="B432" s="1" t="str">
        <v>FixedRateCoupon</v>
      </c>
      <c r="C432" s="12">
        <v>811.99773946012056</v>
      </c>
      <c r="D432" s="11">
        <v>0</v>
      </c>
      <c r="E432" s="13">
        <v>8.611111111111111E-2</v>
      </c>
      <c r="F432" s="1" t="str">
        <v>EUR</v>
      </c>
      <c r="G432" s="11">
        <v>0</v>
      </c>
      <c r="H432" s="11">
        <v>0</v>
      </c>
      <c r="I432" s="1">
        <v>0</v>
      </c>
    </row>
    <row r="433" spans="1:9" ht="24" customHeight="1" x14ac:dyDescent="0.25">
      <c r="A433" s="1" t="str">
        <v>2043-11-24</v>
      </c>
      <c r="B433" s="1" t="str">
        <v>Redemption</v>
      </c>
      <c r="C433" s="12">
        <v>700.6151040851837</v>
      </c>
      <c r="D433" s="11">
        <v>0</v>
      </c>
      <c r="E433" s="13">
        <v>0</v>
      </c>
      <c r="F433" s="1" t="str">
        <v>EUR</v>
      </c>
      <c r="G433" s="11">
        <v>0</v>
      </c>
      <c r="H433" s="11">
        <v>0</v>
      </c>
      <c r="I433" s="1">
        <v>0</v>
      </c>
    </row>
    <row r="434" spans="1:9" ht="24" customHeight="1" x14ac:dyDescent="0.25">
      <c r="A434" s="1" t="str">
        <v>2043-12-24</v>
      </c>
      <c r="B434" s="1" t="str">
        <v>FixedRateCoupon</v>
      </c>
      <c r="C434" s="12">
        <v>782.30118847323911</v>
      </c>
      <c r="D434" s="11">
        <v>0</v>
      </c>
      <c r="E434" s="13">
        <v>8.3333333333333329E-2</v>
      </c>
      <c r="F434" s="1" t="str">
        <v>EUR</v>
      </c>
      <c r="G434" s="11">
        <v>0</v>
      </c>
      <c r="H434" s="11">
        <v>0</v>
      </c>
      <c r="I434" s="1">
        <v>0</v>
      </c>
    </row>
    <row r="435" spans="1:9" ht="24" customHeight="1" x14ac:dyDescent="0.25">
      <c r="A435" s="1" t="str">
        <v>2043-12-24</v>
      </c>
      <c r="B435" s="1" t="str">
        <v>Redemption</v>
      </c>
      <c r="C435" s="12">
        <v>730.31165507208789</v>
      </c>
      <c r="D435" s="11">
        <v>0</v>
      </c>
      <c r="E435" s="13">
        <v>0</v>
      </c>
      <c r="F435" s="1" t="str">
        <v>EUR</v>
      </c>
      <c r="G435" s="11">
        <v>0</v>
      </c>
      <c r="H435" s="11">
        <v>0</v>
      </c>
      <c r="I435" s="1">
        <v>0</v>
      </c>
    </row>
    <row r="436" spans="1:9" ht="24" customHeight="1" x14ac:dyDescent="0.25">
      <c r="A436" s="1" t="str">
        <v>2044-01-24</v>
      </c>
      <c r="B436" s="1" t="str">
        <v>FixedRateCoupon</v>
      </c>
      <c r="C436" s="12">
        <v>804.60461787114139</v>
      </c>
      <c r="D436" s="11">
        <v>0</v>
      </c>
      <c r="E436" s="13">
        <v>8.611111111111111E-2</v>
      </c>
      <c r="F436" s="1" t="str">
        <v>EUR</v>
      </c>
      <c r="G436" s="11">
        <v>0</v>
      </c>
      <c r="H436" s="11">
        <v>0</v>
      </c>
      <c r="I436" s="1">
        <v>0</v>
      </c>
    </row>
    <row r="437" spans="1:9" ht="24" customHeight="1" x14ac:dyDescent="0.25">
      <c r="A437" s="1" t="str">
        <v>2044-01-24</v>
      </c>
      <c r="B437" s="1" t="str">
        <v>Redemption</v>
      </c>
      <c r="C437" s="12">
        <v>708.00822567415889</v>
      </c>
      <c r="D437" s="11">
        <v>0</v>
      </c>
      <c r="E437" s="13">
        <v>0</v>
      </c>
      <c r="F437" s="1" t="str">
        <v>EUR</v>
      </c>
      <c r="G437" s="11">
        <v>0</v>
      </c>
      <c r="H437" s="11">
        <v>0</v>
      </c>
      <c r="I437" s="1">
        <v>0</v>
      </c>
    </row>
    <row r="438" spans="1:9" ht="24" customHeight="1" x14ac:dyDescent="0.25">
      <c r="A438" s="1" t="str">
        <v>2044-02-24</v>
      </c>
      <c r="B438" s="1" t="str">
        <v>FixedRateCoupon</v>
      </c>
      <c r="C438" s="12">
        <v>800.94657537182479</v>
      </c>
      <c r="D438" s="11">
        <v>0</v>
      </c>
      <c r="E438" s="13">
        <v>8.611111111111111E-2</v>
      </c>
      <c r="F438" s="1" t="str">
        <v>EUR</v>
      </c>
      <c r="G438" s="11">
        <v>0</v>
      </c>
      <c r="H438" s="11">
        <v>0</v>
      </c>
      <c r="I438" s="1">
        <v>0</v>
      </c>
    </row>
    <row r="439" spans="1:9" ht="24" customHeight="1" x14ac:dyDescent="0.25">
      <c r="A439" s="1" t="str">
        <v>2044-02-24</v>
      </c>
      <c r="B439" s="1" t="str">
        <v>Redemption</v>
      </c>
      <c r="C439" s="12">
        <v>711.66626817345968</v>
      </c>
      <c r="D439" s="11">
        <v>0</v>
      </c>
      <c r="E439" s="13">
        <v>0</v>
      </c>
      <c r="F439" s="1" t="str">
        <v>EUR</v>
      </c>
      <c r="G439" s="11">
        <v>0</v>
      </c>
      <c r="H439" s="11">
        <v>0</v>
      </c>
      <c r="I439" s="1">
        <v>0</v>
      </c>
    </row>
    <row r="440" spans="1:9" ht="24" customHeight="1" x14ac:dyDescent="0.25">
      <c r="A440" s="1" t="str">
        <v>2044-03-24</v>
      </c>
      <c r="B440" s="1" t="str">
        <v>FixedRateCoupon</v>
      </c>
      <c r="C440" s="12">
        <v>745.83288247101939</v>
      </c>
      <c r="D440" s="11">
        <v>0</v>
      </c>
      <c r="E440" s="13">
        <v>8.0555555555555561E-2</v>
      </c>
      <c r="F440" s="1" t="str">
        <v>EUR</v>
      </c>
      <c r="G440" s="11">
        <v>0</v>
      </c>
      <c r="H440" s="11">
        <v>0</v>
      </c>
      <c r="I440" s="1">
        <v>0</v>
      </c>
    </row>
    <row r="441" spans="1:9" ht="24" customHeight="1" x14ac:dyDescent="0.25">
      <c r="A441" s="1" t="str">
        <v>2044-03-24</v>
      </c>
      <c r="B441" s="1" t="str">
        <v>Redemption</v>
      </c>
      <c r="C441" s="12">
        <v>766.77996107429499</v>
      </c>
      <c r="D441" s="11">
        <v>0</v>
      </c>
      <c r="E441" s="13">
        <v>0</v>
      </c>
      <c r="F441" s="1" t="str">
        <v>EUR</v>
      </c>
      <c r="G441" s="11">
        <v>0</v>
      </c>
      <c r="H441" s="11">
        <v>0</v>
      </c>
      <c r="I441" s="1">
        <v>0</v>
      </c>
    </row>
    <row r="442" spans="1:9" ht="24" customHeight="1" x14ac:dyDescent="0.25">
      <c r="A442" s="1" t="str">
        <v>2044-04-24</v>
      </c>
      <c r="B442" s="1" t="str">
        <v>FixedRateCoupon</v>
      </c>
      <c r="C442" s="12">
        <v>793.30793652071145</v>
      </c>
      <c r="D442" s="11">
        <v>0</v>
      </c>
      <c r="E442" s="13">
        <v>8.611111111111111E-2</v>
      </c>
      <c r="F442" s="1" t="str">
        <v>EUR</v>
      </c>
      <c r="G442" s="11">
        <v>0</v>
      </c>
      <c r="H442" s="11">
        <v>0</v>
      </c>
      <c r="I442" s="1">
        <v>0</v>
      </c>
    </row>
    <row r="443" spans="1:9" ht="24" customHeight="1" x14ac:dyDescent="0.25">
      <c r="A443" s="1" t="str">
        <v>2044-04-24</v>
      </c>
      <c r="B443" s="1" t="str">
        <v>Redemption</v>
      </c>
      <c r="C443" s="12">
        <v>719.3049070245761</v>
      </c>
      <c r="D443" s="11">
        <v>0</v>
      </c>
      <c r="E443" s="13">
        <v>0</v>
      </c>
      <c r="F443" s="1" t="str">
        <v>EUR</v>
      </c>
      <c r="G443" s="11">
        <v>0</v>
      </c>
      <c r="H443" s="11">
        <v>0</v>
      </c>
      <c r="I443" s="1">
        <v>0</v>
      </c>
    </row>
    <row r="444" spans="1:9" ht="24" customHeight="1" x14ac:dyDescent="0.25">
      <c r="A444" s="1" t="str">
        <v>2044-05-24</v>
      </c>
      <c r="B444" s="1" t="str">
        <v>FixedRateCoupon</v>
      </c>
      <c r="C444" s="12">
        <v>764.12083338814614</v>
      </c>
      <c r="D444" s="11">
        <v>0</v>
      </c>
      <c r="E444" s="13">
        <v>8.3333333333333329E-2</v>
      </c>
      <c r="F444" s="1" t="str">
        <v>EUR</v>
      </c>
      <c r="G444" s="11">
        <v>0</v>
      </c>
      <c r="H444" s="11">
        <v>0</v>
      </c>
      <c r="I444" s="1">
        <v>0</v>
      </c>
    </row>
    <row r="445" spans="1:9" ht="24" customHeight="1" x14ac:dyDescent="0.25">
      <c r="A445" s="1" t="str">
        <v>2044-05-24</v>
      </c>
      <c r="B445" s="1" t="str">
        <v>Redemption</v>
      </c>
      <c r="C445" s="12">
        <v>748.49201015717699</v>
      </c>
      <c r="D445" s="11">
        <v>0</v>
      </c>
      <c r="E445" s="13">
        <v>0</v>
      </c>
      <c r="F445" s="1" t="str">
        <v>EUR</v>
      </c>
      <c r="G445" s="11">
        <v>0</v>
      </c>
      <c r="H445" s="11">
        <v>0</v>
      </c>
      <c r="I445" s="1">
        <v>0</v>
      </c>
    </row>
    <row r="446" spans="1:9" ht="24" customHeight="1" x14ac:dyDescent="0.25">
      <c r="A446" s="1" t="str">
        <v>2044-06-24</v>
      </c>
      <c r="B446" s="1" t="str">
        <v>FixedRateCoupon</v>
      </c>
      <c r="C446" s="12">
        <v>785.72431911527235</v>
      </c>
      <c r="D446" s="11">
        <v>0</v>
      </c>
      <c r="E446" s="13">
        <v>8.611111111111111E-2</v>
      </c>
      <c r="F446" s="1" t="str">
        <v>EUR</v>
      </c>
      <c r="G446" s="11">
        <v>0</v>
      </c>
      <c r="H446" s="11">
        <v>0</v>
      </c>
      <c r="I446" s="1">
        <v>0</v>
      </c>
    </row>
    <row r="447" spans="1:9" ht="24" customHeight="1" x14ac:dyDescent="0.25">
      <c r="A447" s="1" t="str">
        <v>2044-06-24</v>
      </c>
      <c r="B447" s="1" t="str">
        <v>Redemption</v>
      </c>
      <c r="C447" s="12">
        <v>726.88852443001815</v>
      </c>
      <c r="D447" s="11">
        <v>0</v>
      </c>
      <c r="E447" s="13">
        <v>0</v>
      </c>
      <c r="F447" s="1" t="str">
        <v>EUR</v>
      </c>
      <c r="G447" s="11">
        <v>0</v>
      </c>
      <c r="H447" s="11">
        <v>0</v>
      </c>
      <c r="I447" s="1">
        <v>0</v>
      </c>
    </row>
    <row r="448" spans="1:9" ht="24" customHeight="1" x14ac:dyDescent="0.25">
      <c r="A448" s="1" t="str">
        <v>2044-07-24</v>
      </c>
      <c r="B448" s="1" t="str">
        <v>FixedRateCoupon</v>
      </c>
      <c r="C448" s="12">
        <v>756.74393071521024</v>
      </c>
      <c r="D448" s="11">
        <v>0</v>
      </c>
      <c r="E448" s="13">
        <v>8.3333333333333329E-2</v>
      </c>
      <c r="F448" s="1" t="str">
        <v>EUR</v>
      </c>
      <c r="G448" s="11">
        <v>0</v>
      </c>
      <c r="H448" s="11">
        <v>0</v>
      </c>
      <c r="I448" s="1">
        <v>0</v>
      </c>
    </row>
    <row r="449" spans="1:9" ht="24" customHeight="1" x14ac:dyDescent="0.25">
      <c r="A449" s="1" t="str">
        <v>2044-07-24</v>
      </c>
      <c r="B449" s="1" t="str">
        <v>Redemption</v>
      </c>
      <c r="C449" s="12">
        <v>755.86891283010482</v>
      </c>
      <c r="D449" s="11">
        <v>0</v>
      </c>
      <c r="E449" s="13">
        <v>0</v>
      </c>
      <c r="F449" s="1" t="str">
        <v>EUR</v>
      </c>
      <c r="G449" s="11">
        <v>0</v>
      </c>
      <c r="H449" s="11">
        <v>0</v>
      </c>
      <c r="I449" s="1">
        <v>0</v>
      </c>
    </row>
    <row r="450" spans="1:9" ht="24" customHeight="1" x14ac:dyDescent="0.25">
      <c r="A450" s="1" t="str">
        <v>2044-08-24</v>
      </c>
      <c r="B450" s="1" t="str">
        <v>FixedRateCoupon</v>
      </c>
      <c r="C450" s="12">
        <v>778.06340568942835</v>
      </c>
      <c r="D450" s="11">
        <v>0</v>
      </c>
      <c r="E450" s="13">
        <v>8.611111111111111E-2</v>
      </c>
      <c r="F450" s="1" t="str">
        <v>EUR</v>
      </c>
      <c r="G450" s="11">
        <v>0</v>
      </c>
      <c r="H450" s="11">
        <v>0</v>
      </c>
      <c r="I450" s="1">
        <v>0</v>
      </c>
    </row>
    <row r="451" spans="1:9" ht="24" customHeight="1" x14ac:dyDescent="0.25">
      <c r="A451" s="1" t="str">
        <v>2044-08-24</v>
      </c>
      <c r="B451" s="1" t="str">
        <v>Redemption</v>
      </c>
      <c r="C451" s="12">
        <v>734.54943785586511</v>
      </c>
      <c r="D451" s="11">
        <v>0</v>
      </c>
      <c r="E451" s="13">
        <v>0</v>
      </c>
      <c r="F451" s="1" t="str">
        <v>EUR</v>
      </c>
      <c r="G451" s="11">
        <v>0</v>
      </c>
      <c r="H451" s="11">
        <v>0</v>
      </c>
      <c r="I451" s="1">
        <v>0</v>
      </c>
    </row>
    <row r="452" spans="1:9" ht="24" customHeight="1" x14ac:dyDescent="0.25">
      <c r="A452" s="1" t="str">
        <v>2044-09-24</v>
      </c>
      <c r="B452" s="1" t="str">
        <v>FixedRateCoupon</v>
      </c>
      <c r="C452" s="12">
        <v>774.2682335938398</v>
      </c>
      <c r="D452" s="11">
        <v>0</v>
      </c>
      <c r="E452" s="13">
        <v>8.611111111111111E-2</v>
      </c>
      <c r="F452" s="1" t="str">
        <v>EUR</v>
      </c>
      <c r="G452" s="11">
        <v>0</v>
      </c>
      <c r="H452" s="11">
        <v>0</v>
      </c>
      <c r="I452" s="1">
        <v>0</v>
      </c>
    </row>
    <row r="453" spans="1:9" ht="24" customHeight="1" x14ac:dyDescent="0.25">
      <c r="A453" s="1" t="str">
        <v>2044-09-24</v>
      </c>
      <c r="B453" s="1" t="str">
        <v>Redemption</v>
      </c>
      <c r="C453" s="12">
        <v>738.34460995145491</v>
      </c>
      <c r="D453" s="11">
        <v>0</v>
      </c>
      <c r="E453" s="13">
        <v>0</v>
      </c>
      <c r="F453" s="1" t="str">
        <v>EUR</v>
      </c>
      <c r="G453" s="11">
        <v>0</v>
      </c>
      <c r="H453" s="11">
        <v>0</v>
      </c>
      <c r="I453" s="1">
        <v>0</v>
      </c>
    </row>
    <row r="454" spans="1:9" ht="24" customHeight="1" x14ac:dyDescent="0.25">
      <c r="A454" s="1" t="str">
        <v>2044-10-24</v>
      </c>
      <c r="B454" s="1" t="str">
        <v>FixedRateCoupon</v>
      </c>
      <c r="C454" s="12">
        <v>745.60011591202306</v>
      </c>
      <c r="D454" s="11">
        <v>0</v>
      </c>
      <c r="E454" s="13">
        <v>8.3333333333333329E-2</v>
      </c>
      <c r="F454" s="1" t="str">
        <v>EUR</v>
      </c>
      <c r="G454" s="11">
        <v>0</v>
      </c>
      <c r="H454" s="11">
        <v>0</v>
      </c>
      <c r="I454" s="1">
        <v>0</v>
      </c>
    </row>
    <row r="455" spans="1:9" ht="24" customHeight="1" x14ac:dyDescent="0.25">
      <c r="A455" s="1" t="str">
        <v>2044-10-24</v>
      </c>
      <c r="B455" s="1" t="str">
        <v>Redemption</v>
      </c>
      <c r="C455" s="12">
        <v>767.01272763329325</v>
      </c>
      <c r="D455" s="11">
        <v>0</v>
      </c>
      <c r="E455" s="13">
        <v>0</v>
      </c>
      <c r="F455" s="1" t="str">
        <v>EUR</v>
      </c>
      <c r="G455" s="11">
        <v>0</v>
      </c>
      <c r="H455" s="11">
        <v>0</v>
      </c>
      <c r="I455" s="1">
        <v>0</v>
      </c>
    </row>
    <row r="456" spans="1:9" ht="24" customHeight="1" x14ac:dyDescent="0.25">
      <c r="A456" s="1" t="str">
        <v>2044-11-24</v>
      </c>
      <c r="B456" s="1" t="str">
        <v>FixedRateCoupon</v>
      </c>
      <c r="C456" s="12">
        <v>766.49055401631858</v>
      </c>
      <c r="D456" s="11">
        <v>0</v>
      </c>
      <c r="E456" s="13">
        <v>8.611111111111111E-2</v>
      </c>
      <c r="F456" s="1" t="str">
        <v>EUR</v>
      </c>
      <c r="G456" s="11">
        <v>0</v>
      </c>
      <c r="H456" s="11">
        <v>0</v>
      </c>
      <c r="I456" s="1">
        <v>0</v>
      </c>
    </row>
    <row r="457" spans="1:9" ht="24" customHeight="1" x14ac:dyDescent="0.25">
      <c r="A457" s="1" t="str">
        <v>2044-11-24</v>
      </c>
      <c r="B457" s="1" t="str">
        <v>Redemption</v>
      </c>
      <c r="C457" s="12">
        <v>746.12228952898295</v>
      </c>
      <c r="D457" s="11">
        <v>0</v>
      </c>
      <c r="E457" s="13">
        <v>0</v>
      </c>
      <c r="F457" s="1" t="str">
        <v>EUR</v>
      </c>
      <c r="G457" s="11">
        <v>0</v>
      </c>
      <c r="H457" s="11">
        <v>0</v>
      </c>
      <c r="I457" s="1">
        <v>0</v>
      </c>
    </row>
    <row r="458" spans="1:9" ht="24" customHeight="1" x14ac:dyDescent="0.25">
      <c r="A458" s="1" t="str">
        <v>2044-12-24</v>
      </c>
      <c r="B458" s="1" t="str">
        <v>FixedRateCoupon</v>
      </c>
      <c r="C458" s="12">
        <v>738.03444082621172</v>
      </c>
      <c r="D458" s="11">
        <v>0</v>
      </c>
      <c r="E458" s="13">
        <v>8.3333333333333329E-2</v>
      </c>
      <c r="F458" s="1" t="str">
        <v>EUR</v>
      </c>
      <c r="G458" s="11">
        <v>0</v>
      </c>
      <c r="H458" s="11">
        <v>0</v>
      </c>
      <c r="I458" s="1">
        <v>0</v>
      </c>
    </row>
    <row r="459" spans="1:9" ht="24" customHeight="1" x14ac:dyDescent="0.25">
      <c r="A459" s="1" t="str">
        <v>2044-12-24</v>
      </c>
      <c r="B459" s="1" t="str">
        <v>Redemption</v>
      </c>
      <c r="C459" s="12">
        <v>774.57840271911118</v>
      </c>
      <c r="D459" s="11">
        <v>0</v>
      </c>
      <c r="E459" s="13">
        <v>0</v>
      </c>
      <c r="F459" s="1" t="str">
        <v>EUR</v>
      </c>
      <c r="G459" s="11">
        <v>0</v>
      </c>
      <c r="H459" s="11">
        <v>0</v>
      </c>
      <c r="I459" s="1">
        <v>0</v>
      </c>
    </row>
    <row r="460" spans="1:9" ht="24" customHeight="1" x14ac:dyDescent="0.25">
      <c r="A460" s="1" t="str">
        <v>2045-01-24</v>
      </c>
      <c r="B460" s="1" t="str">
        <v>FixedRateCoupon</v>
      </c>
      <c r="C460" s="12">
        <v>758.6336004397034</v>
      </c>
      <c r="D460" s="11">
        <v>0</v>
      </c>
      <c r="E460" s="13">
        <v>8.611111111111111E-2</v>
      </c>
      <c r="F460" s="1" t="str">
        <v>EUR</v>
      </c>
      <c r="G460" s="11">
        <v>0</v>
      </c>
      <c r="H460" s="11">
        <v>0</v>
      </c>
      <c r="I460" s="1">
        <v>0</v>
      </c>
    </row>
    <row r="461" spans="1:9" ht="24" customHeight="1" x14ac:dyDescent="0.25">
      <c r="A461" s="1" t="str">
        <v>2045-01-24</v>
      </c>
      <c r="B461" s="1" t="str">
        <v>Redemption</v>
      </c>
      <c r="C461" s="12">
        <v>753.97924310559756</v>
      </c>
      <c r="D461" s="11">
        <v>0</v>
      </c>
      <c r="E461" s="13">
        <v>0</v>
      </c>
      <c r="F461" s="1" t="str">
        <v>EUR</v>
      </c>
      <c r="G461" s="11">
        <v>0</v>
      </c>
      <c r="H461" s="11">
        <v>0</v>
      </c>
      <c r="I461" s="1">
        <v>0</v>
      </c>
    </row>
    <row r="462" spans="1:9" ht="24" customHeight="1" x14ac:dyDescent="0.25">
      <c r="A462" s="1" t="str">
        <v>2045-02-24</v>
      </c>
      <c r="B462" s="1" t="str">
        <v>FixedRateCoupon</v>
      </c>
      <c r="C462" s="12">
        <v>754.73804101699113</v>
      </c>
      <c r="D462" s="11">
        <v>0</v>
      </c>
      <c r="E462" s="13">
        <v>8.611111111111111E-2</v>
      </c>
      <c r="F462" s="1" t="str">
        <v>EUR</v>
      </c>
      <c r="G462" s="11">
        <v>0</v>
      </c>
      <c r="H462" s="11">
        <v>0</v>
      </c>
      <c r="I462" s="1">
        <v>0</v>
      </c>
    </row>
    <row r="463" spans="1:9" ht="24" customHeight="1" x14ac:dyDescent="0.25">
      <c r="A463" s="1" t="str">
        <v>2045-02-24</v>
      </c>
      <c r="B463" s="1" t="str">
        <v>Redemption</v>
      </c>
      <c r="C463" s="12">
        <v>757.87480252829846</v>
      </c>
      <c r="D463" s="11">
        <v>0</v>
      </c>
      <c r="E463" s="13">
        <v>0</v>
      </c>
      <c r="F463" s="1" t="str">
        <v>EUR</v>
      </c>
      <c r="G463" s="11">
        <v>0</v>
      </c>
      <c r="H463" s="11">
        <v>0</v>
      </c>
      <c r="I463" s="1">
        <v>0</v>
      </c>
    </row>
    <row r="464" spans="1:9" ht="24" customHeight="1" x14ac:dyDescent="0.25">
      <c r="A464" s="1" t="str">
        <v>2045-03-24</v>
      </c>
      <c r="B464" s="1" t="str">
        <v>FixedRateCoupon</v>
      </c>
      <c r="C464" s="12">
        <v>678.16212667881689</v>
      </c>
      <c r="D464" s="11">
        <v>0</v>
      </c>
      <c r="E464" s="13">
        <v>7.7777777777777779E-2</v>
      </c>
      <c r="F464" s="1" t="str">
        <v>EUR</v>
      </c>
      <c r="G464" s="11">
        <v>0</v>
      </c>
      <c r="H464" s="11">
        <v>0</v>
      </c>
      <c r="I464" s="1">
        <v>0</v>
      </c>
    </row>
    <row r="465" spans="1:9" ht="24" customHeight="1" x14ac:dyDescent="0.25">
      <c r="A465" s="1" t="str">
        <v>2045-03-24</v>
      </c>
      <c r="B465" s="1" t="str">
        <v>Redemption</v>
      </c>
      <c r="C465" s="12">
        <v>834.45071686650044</v>
      </c>
      <c r="D465" s="11">
        <v>0</v>
      </c>
      <c r="E465" s="13">
        <v>0</v>
      </c>
      <c r="F465" s="1" t="str">
        <v>EUR</v>
      </c>
      <c r="G465" s="11">
        <v>0</v>
      </c>
      <c r="H465" s="11">
        <v>0</v>
      </c>
      <c r="I465" s="1">
        <v>0</v>
      </c>
    </row>
    <row r="466" spans="1:9" ht="24" customHeight="1" x14ac:dyDescent="0.25">
      <c r="A466" s="1" t="str">
        <v>2045-04-24</v>
      </c>
      <c r="B466" s="1" t="str">
        <v>FixedRateCoupon</v>
      </c>
      <c r="C466" s="12">
        <v>746.5110258334513</v>
      </c>
      <c r="D466" s="11">
        <v>0</v>
      </c>
      <c r="E466" s="13">
        <v>8.611111111111111E-2</v>
      </c>
      <c r="F466" s="1" t="str">
        <v>EUR</v>
      </c>
      <c r="G466" s="11">
        <v>0</v>
      </c>
      <c r="H466" s="11">
        <v>0</v>
      </c>
      <c r="I466" s="1">
        <v>0</v>
      </c>
    </row>
    <row r="467" spans="1:9" ht="24" customHeight="1" x14ac:dyDescent="0.25">
      <c r="A467" s="1" t="str">
        <v>2045-04-24</v>
      </c>
      <c r="B467" s="1" t="str">
        <v>Redemption</v>
      </c>
      <c r="C467" s="12">
        <v>766.10181771183852</v>
      </c>
      <c r="D467" s="11">
        <v>0</v>
      </c>
      <c r="E467" s="13">
        <v>0</v>
      </c>
      <c r="F467" s="1" t="str">
        <v>EUR</v>
      </c>
      <c r="G467" s="11">
        <v>0</v>
      </c>
      <c r="H467" s="11">
        <v>0</v>
      </c>
      <c r="I467" s="1">
        <v>0</v>
      </c>
    </row>
    <row r="468" spans="1:9" ht="24" customHeight="1" x14ac:dyDescent="0.25">
      <c r="A468" s="1" t="str">
        <v>2045-05-24</v>
      </c>
      <c r="B468" s="1" t="str">
        <v>FixedRateCoupon</v>
      </c>
      <c r="C468" s="12">
        <v>718.59951591155505</v>
      </c>
      <c r="D468" s="11">
        <v>0</v>
      </c>
      <c r="E468" s="13">
        <v>8.3333333333333329E-2</v>
      </c>
      <c r="F468" s="1" t="str">
        <v>EUR</v>
      </c>
      <c r="G468" s="11">
        <v>0</v>
      </c>
      <c r="H468" s="11">
        <v>0</v>
      </c>
      <c r="I468" s="1">
        <v>0</v>
      </c>
    </row>
    <row r="469" spans="1:9" ht="24" customHeight="1" x14ac:dyDescent="0.25">
      <c r="A469" s="1" t="str">
        <v>2045-05-24</v>
      </c>
      <c r="B469" s="1" t="str">
        <v>Redemption</v>
      </c>
      <c r="C469" s="12">
        <v>794.01332763375831</v>
      </c>
      <c r="D469" s="11">
        <v>0</v>
      </c>
      <c r="E469" s="13">
        <v>0</v>
      </c>
      <c r="F469" s="1" t="str">
        <v>EUR</v>
      </c>
      <c r="G469" s="11">
        <v>0</v>
      </c>
      <c r="H469" s="11">
        <v>0</v>
      </c>
      <c r="I469" s="1">
        <v>0</v>
      </c>
    </row>
    <row r="470" spans="1:9" ht="24" customHeight="1" x14ac:dyDescent="0.25">
      <c r="A470" s="1" t="str">
        <v>2045-06-24</v>
      </c>
      <c r="B470" s="1" t="str">
        <v>FixedRateCoupon</v>
      </c>
      <c r="C470" s="12">
        <v>738.4504309158325</v>
      </c>
      <c r="D470" s="11">
        <v>0</v>
      </c>
      <c r="E470" s="13">
        <v>8.611111111111111E-2</v>
      </c>
      <c r="F470" s="1" t="str">
        <v>EUR</v>
      </c>
      <c r="G470" s="11">
        <v>0</v>
      </c>
      <c r="H470" s="11">
        <v>0</v>
      </c>
      <c r="I470" s="1">
        <v>0</v>
      </c>
    </row>
    <row r="471" spans="1:9" ht="24" customHeight="1" x14ac:dyDescent="0.25">
      <c r="A471" s="1" t="str">
        <v>2045-06-24</v>
      </c>
      <c r="B471" s="1" t="str">
        <v>Redemption</v>
      </c>
      <c r="C471" s="12">
        <v>774.16241262946278</v>
      </c>
      <c r="D471" s="11">
        <v>0</v>
      </c>
      <c r="E471" s="13">
        <v>0</v>
      </c>
      <c r="F471" s="1" t="str">
        <v>EUR</v>
      </c>
      <c r="G471" s="11">
        <v>0</v>
      </c>
      <c r="H471" s="11">
        <v>0</v>
      </c>
      <c r="I471" s="1">
        <v>0</v>
      </c>
    </row>
    <row r="472" spans="1:9" ht="24" customHeight="1" x14ac:dyDescent="0.25">
      <c r="A472" s="1" t="str">
        <v>2045-07-24</v>
      </c>
      <c r="B472" s="1" t="str">
        <v>FixedRateCoupon</v>
      </c>
      <c r="C472" s="12">
        <v>710.75863721023882</v>
      </c>
      <c r="D472" s="11">
        <v>0</v>
      </c>
      <c r="E472" s="13">
        <v>8.3333333333333329E-2</v>
      </c>
      <c r="F472" s="1" t="str">
        <v>EUR</v>
      </c>
      <c r="G472" s="11">
        <v>0</v>
      </c>
      <c r="H472" s="11">
        <v>0</v>
      </c>
      <c r="I472" s="1">
        <v>0</v>
      </c>
    </row>
    <row r="473" spans="1:9" ht="24" customHeight="1" x14ac:dyDescent="0.25">
      <c r="A473" s="1" t="str">
        <v>2045-07-24</v>
      </c>
      <c r="B473" s="1" t="str">
        <v>Redemption</v>
      </c>
      <c r="C473" s="12">
        <v>801.85420633509057</v>
      </c>
      <c r="D473" s="11">
        <v>0</v>
      </c>
      <c r="E473" s="13">
        <v>0</v>
      </c>
      <c r="F473" s="1" t="str">
        <v>EUR</v>
      </c>
      <c r="G473" s="11">
        <v>0</v>
      </c>
      <c r="H473" s="11">
        <v>0</v>
      </c>
      <c r="I473" s="1">
        <v>0</v>
      </c>
    </row>
    <row r="474" spans="1:9" ht="24" customHeight="1" x14ac:dyDescent="0.25">
      <c r="A474" s="1" t="str">
        <v>2045-08-24</v>
      </c>
      <c r="B474" s="1" t="str">
        <v>FixedRateCoupon</v>
      </c>
      <c r="C474" s="12">
        <v>730.30767838451561</v>
      </c>
      <c r="D474" s="11">
        <v>0</v>
      </c>
      <c r="E474" s="13">
        <v>8.611111111111111E-2</v>
      </c>
      <c r="F474" s="1" t="str">
        <v>EUR</v>
      </c>
      <c r="G474" s="11">
        <v>0</v>
      </c>
      <c r="H474" s="11">
        <v>0</v>
      </c>
      <c r="I474" s="1">
        <v>0</v>
      </c>
    </row>
    <row r="475" spans="1:9" ht="24" customHeight="1" x14ac:dyDescent="0.25">
      <c r="A475" s="1" t="str">
        <v>2045-08-24</v>
      </c>
      <c r="B475" s="1" t="str">
        <v>Redemption</v>
      </c>
      <c r="C475" s="12">
        <v>782.3051651607675</v>
      </c>
      <c r="D475" s="11">
        <v>0</v>
      </c>
      <c r="E475" s="13">
        <v>0</v>
      </c>
      <c r="F475" s="1" t="str">
        <v>EUR</v>
      </c>
      <c r="G475" s="11">
        <v>0</v>
      </c>
      <c r="H475" s="11">
        <v>0</v>
      </c>
      <c r="I475" s="1">
        <v>0</v>
      </c>
    </row>
    <row r="476" spans="1:9" ht="24" customHeight="1" x14ac:dyDescent="0.25">
      <c r="A476" s="1" t="str">
        <v>2045-09-24</v>
      </c>
      <c r="B476" s="1" t="str">
        <v>FixedRateCoupon</v>
      </c>
      <c r="C476" s="12">
        <v>726.26576836451829</v>
      </c>
      <c r="D476" s="11">
        <v>0</v>
      </c>
      <c r="E476" s="13">
        <v>8.611111111111111E-2</v>
      </c>
      <c r="F476" s="1" t="str">
        <v>EUR</v>
      </c>
      <c r="G476" s="11">
        <v>0</v>
      </c>
      <c r="H476" s="11">
        <v>0</v>
      </c>
      <c r="I476" s="1">
        <v>0</v>
      </c>
    </row>
    <row r="477" spans="1:9" ht="24" customHeight="1" x14ac:dyDescent="0.25">
      <c r="A477" s="1" t="str">
        <v>2045-09-24</v>
      </c>
      <c r="B477" s="1" t="str">
        <v>Redemption</v>
      </c>
      <c r="C477" s="12">
        <v>786.34707518076175</v>
      </c>
      <c r="D477" s="11">
        <v>0</v>
      </c>
      <c r="E477" s="13">
        <v>0</v>
      </c>
      <c r="F477" s="1" t="str">
        <v>EUR</v>
      </c>
      <c r="G477" s="11">
        <v>0</v>
      </c>
      <c r="H477" s="11">
        <v>0</v>
      </c>
      <c r="I477" s="1">
        <v>0</v>
      </c>
    </row>
    <row r="478" spans="1:9" ht="24" customHeight="1" x14ac:dyDescent="0.25">
      <c r="A478" s="1" t="str">
        <v>2045-10-24</v>
      </c>
      <c r="B478" s="1" t="str">
        <v>FixedRateCoupon</v>
      </c>
      <c r="C478" s="12">
        <v>698.90610497685577</v>
      </c>
      <c r="D478" s="11">
        <v>0</v>
      </c>
      <c r="E478" s="13">
        <v>8.3333333333333329E-2</v>
      </c>
      <c r="F478" s="1" t="str">
        <v>EUR</v>
      </c>
      <c r="G478" s="11">
        <v>0</v>
      </c>
      <c r="H478" s="11">
        <v>0</v>
      </c>
      <c r="I478" s="1">
        <v>0</v>
      </c>
    </row>
    <row r="479" spans="1:9" ht="24" customHeight="1" x14ac:dyDescent="0.25">
      <c r="A479" s="1" t="str">
        <v>2045-10-24</v>
      </c>
      <c r="B479" s="1" t="str">
        <v>Redemption</v>
      </c>
      <c r="C479" s="12">
        <v>813.70673856846406</v>
      </c>
      <c r="D479" s="11">
        <v>0</v>
      </c>
      <c r="E479" s="13">
        <v>0</v>
      </c>
      <c r="F479" s="1" t="str">
        <v>EUR</v>
      </c>
      <c r="G479" s="11">
        <v>0</v>
      </c>
      <c r="H479" s="11">
        <v>0</v>
      </c>
      <c r="I479" s="1">
        <v>0</v>
      </c>
    </row>
    <row r="480" spans="1:9" ht="24" customHeight="1" x14ac:dyDescent="0.25">
      <c r="A480" s="1" t="str">
        <v>2045-11-24</v>
      </c>
      <c r="B480" s="1" t="str">
        <v>FixedRateCoupon</v>
      </c>
      <c r="C480" s="12">
        <v>717.99882366014731</v>
      </c>
      <c r="D480" s="11">
        <v>0</v>
      </c>
      <c r="E480" s="13">
        <v>8.611111111111111E-2</v>
      </c>
      <c r="F480" s="1" t="str">
        <v>EUR</v>
      </c>
      <c r="G480" s="11">
        <v>0</v>
      </c>
      <c r="H480" s="11">
        <v>0</v>
      </c>
      <c r="I480" s="1">
        <v>0</v>
      </c>
    </row>
    <row r="481" spans="1:9" ht="24" customHeight="1" x14ac:dyDescent="0.25">
      <c r="A481" s="1" t="str">
        <v>2045-11-24</v>
      </c>
      <c r="B481" s="1" t="str">
        <v>Redemption</v>
      </c>
      <c r="C481" s="12">
        <v>794.61401988513535</v>
      </c>
      <c r="D481" s="11">
        <v>0</v>
      </c>
      <c r="E481" s="13">
        <v>0</v>
      </c>
      <c r="F481" s="1" t="str">
        <v>EUR</v>
      </c>
      <c r="G481" s="11">
        <v>0</v>
      </c>
      <c r="H481" s="11">
        <v>0</v>
      </c>
      <c r="I481" s="1">
        <v>0</v>
      </c>
    </row>
    <row r="482" spans="1:9" ht="24" customHeight="1" x14ac:dyDescent="0.25">
      <c r="A482" s="1" t="str">
        <v>2045-12-24</v>
      </c>
      <c r="B482" s="1" t="str">
        <v>FixedRateCoupon</v>
      </c>
      <c r="C482" s="12">
        <v>690.86450118458777</v>
      </c>
      <c r="D482" s="11">
        <v>0</v>
      </c>
      <c r="E482" s="13">
        <v>8.3333333333333329E-2</v>
      </c>
      <c r="F482" s="1" t="str">
        <v>EUR</v>
      </c>
      <c r="G482" s="11">
        <v>0</v>
      </c>
      <c r="H482" s="11">
        <v>0</v>
      </c>
      <c r="I482" s="1">
        <v>0</v>
      </c>
    </row>
    <row r="483" spans="1:9" ht="24" customHeight="1" x14ac:dyDescent="0.25">
      <c r="A483" s="1" t="str">
        <v>2045-12-24</v>
      </c>
      <c r="B483" s="1" t="str">
        <v>Redemption</v>
      </c>
      <c r="C483" s="12">
        <v>821.74834236071911</v>
      </c>
      <c r="D483" s="11">
        <v>0</v>
      </c>
      <c r="E483" s="13">
        <v>0</v>
      </c>
      <c r="F483" s="1" t="str">
        <v>EUR</v>
      </c>
      <c r="G483" s="11">
        <v>0</v>
      </c>
      <c r="H483" s="11">
        <v>0</v>
      </c>
      <c r="I483" s="1">
        <v>0</v>
      </c>
    </row>
    <row r="484" spans="1:9" ht="24" customHeight="1" x14ac:dyDescent="0.25">
      <c r="A484" s="1" t="str">
        <v>2046-01-24</v>
      </c>
      <c r="B484" s="1" t="str">
        <v>FixedRateCoupon</v>
      </c>
      <c r="C484" s="12">
        <v>709.64761812187703</v>
      </c>
      <c r="D484" s="11">
        <v>0</v>
      </c>
      <c r="E484" s="13">
        <v>8.611111111111111E-2</v>
      </c>
      <c r="F484" s="1" t="str">
        <v>EUR</v>
      </c>
      <c r="G484" s="11">
        <v>0</v>
      </c>
      <c r="H484" s="11">
        <v>0</v>
      </c>
      <c r="I484" s="1">
        <v>0</v>
      </c>
    </row>
    <row r="485" spans="1:9" ht="24" customHeight="1" x14ac:dyDescent="0.25">
      <c r="A485" s="1" t="str">
        <v>2046-01-24</v>
      </c>
      <c r="B485" s="1" t="str">
        <v>Redemption</v>
      </c>
      <c r="C485" s="12">
        <v>802.96522542342427</v>
      </c>
      <c r="D485" s="11">
        <v>0</v>
      </c>
      <c r="E485" s="13">
        <v>0</v>
      </c>
      <c r="F485" s="1" t="str">
        <v>EUR</v>
      </c>
      <c r="G485" s="11">
        <v>0</v>
      </c>
      <c r="H485" s="11">
        <v>0</v>
      </c>
      <c r="I485" s="1">
        <v>0</v>
      </c>
    </row>
    <row r="486" spans="1:9" ht="24" customHeight="1" x14ac:dyDescent="0.25">
      <c r="A486" s="1" t="str">
        <v>2046-02-24</v>
      </c>
      <c r="B486" s="1" t="str">
        <v>FixedRateCoupon</v>
      </c>
      <c r="C486" s="12">
        <v>705.49896445718935</v>
      </c>
      <c r="D486" s="11">
        <v>0</v>
      </c>
      <c r="E486" s="13">
        <v>8.611111111111111E-2</v>
      </c>
      <c r="F486" s="1" t="str">
        <v>EUR</v>
      </c>
      <c r="G486" s="11">
        <v>0</v>
      </c>
      <c r="H486" s="11">
        <v>0</v>
      </c>
      <c r="I486" s="1">
        <v>0</v>
      </c>
    </row>
    <row r="487" spans="1:9" ht="24" customHeight="1" x14ac:dyDescent="0.25">
      <c r="A487" s="1" t="str">
        <v>2046-02-24</v>
      </c>
      <c r="B487" s="1" t="str">
        <v>Redemption</v>
      </c>
      <c r="C487" s="12">
        <v>807.11387908810866</v>
      </c>
      <c r="D487" s="11">
        <v>0</v>
      </c>
      <c r="E487" s="13">
        <v>0</v>
      </c>
      <c r="F487" s="1" t="str">
        <v>EUR</v>
      </c>
      <c r="G487" s="11">
        <v>0</v>
      </c>
      <c r="H487" s="11">
        <v>0</v>
      </c>
      <c r="I487" s="1">
        <v>0</v>
      </c>
    </row>
    <row r="488" spans="1:9" ht="24" customHeight="1" x14ac:dyDescent="0.25">
      <c r="A488" s="1" t="str">
        <v>2046-03-24</v>
      </c>
      <c r="B488" s="1" t="str">
        <v>FixedRateCoupon</v>
      </c>
      <c r="C488" s="12">
        <v>633.45833968687816</v>
      </c>
      <c r="D488" s="11">
        <v>0</v>
      </c>
      <c r="E488" s="13">
        <v>7.7777777777777779E-2</v>
      </c>
      <c r="F488" s="1" t="str">
        <v>EUR</v>
      </c>
      <c r="G488" s="11">
        <v>0</v>
      </c>
      <c r="H488" s="11">
        <v>0</v>
      </c>
      <c r="I488" s="1">
        <v>0</v>
      </c>
    </row>
    <row r="489" spans="1:9" ht="24" customHeight="1" x14ac:dyDescent="0.25">
      <c r="A489" s="1" t="str">
        <v>2046-03-24</v>
      </c>
      <c r="B489" s="1" t="str">
        <v>Redemption</v>
      </c>
      <c r="C489" s="12">
        <v>879.15450385844451</v>
      </c>
      <c r="D489" s="11">
        <v>0</v>
      </c>
      <c r="E489" s="13">
        <v>0</v>
      </c>
      <c r="F489" s="1" t="str">
        <v>EUR</v>
      </c>
      <c r="G489" s="11">
        <v>0</v>
      </c>
      <c r="H489" s="11">
        <v>0</v>
      </c>
      <c r="I489" s="1">
        <v>0</v>
      </c>
    </row>
    <row r="490" spans="1:9" ht="24" customHeight="1" x14ac:dyDescent="0.25">
      <c r="A490" s="1" t="str">
        <v>2046-04-24</v>
      </c>
      <c r="B490" s="1" t="str">
        <v>FixedRateCoupon</v>
      </c>
      <c r="C490" s="12">
        <v>696.78657781196557</v>
      </c>
      <c r="D490" s="11">
        <v>0</v>
      </c>
      <c r="E490" s="13">
        <v>8.611111111111111E-2</v>
      </c>
      <c r="F490" s="1" t="str">
        <v>EUR</v>
      </c>
      <c r="G490" s="11">
        <v>0</v>
      </c>
      <c r="H490" s="11">
        <v>0</v>
      </c>
      <c r="I490" s="1">
        <v>0</v>
      </c>
    </row>
    <row r="491" spans="1:9" ht="24" customHeight="1" x14ac:dyDescent="0.25">
      <c r="A491" s="1" t="str">
        <v>2046-04-24</v>
      </c>
      <c r="B491" s="1" t="str">
        <v>Redemption</v>
      </c>
      <c r="C491" s="12">
        <v>815.82626573333982</v>
      </c>
      <c r="D491" s="11">
        <v>0</v>
      </c>
      <c r="E491" s="13">
        <v>0</v>
      </c>
      <c r="F491" s="1" t="str">
        <v>EUR</v>
      </c>
      <c r="G491" s="11">
        <v>0</v>
      </c>
      <c r="H491" s="11">
        <v>0</v>
      </c>
      <c r="I491" s="1">
        <v>0</v>
      </c>
    </row>
    <row r="492" spans="1:9" ht="24" customHeight="1" x14ac:dyDescent="0.25">
      <c r="A492" s="1" t="str">
        <v>2046-05-24</v>
      </c>
      <c r="B492" s="1" t="str">
        <v>FixedRateCoupon</v>
      </c>
      <c r="C492" s="12">
        <v>670.23046010226756</v>
      </c>
      <c r="D492" s="11">
        <v>0</v>
      </c>
      <c r="E492" s="13">
        <v>8.3333333333333329E-2</v>
      </c>
      <c r="F492" s="1" t="str">
        <v>EUR</v>
      </c>
      <c r="G492" s="11">
        <v>0</v>
      </c>
      <c r="H492" s="11">
        <v>0</v>
      </c>
      <c r="I492" s="1">
        <v>0</v>
      </c>
    </row>
    <row r="493" spans="1:9" ht="24" customHeight="1" x14ac:dyDescent="0.25">
      <c r="A493" s="1" t="str">
        <v>2046-05-24</v>
      </c>
      <c r="B493" s="1" t="str">
        <v>Redemption</v>
      </c>
      <c r="C493" s="12">
        <v>842.38238344306592</v>
      </c>
      <c r="D493" s="11">
        <v>0</v>
      </c>
      <c r="E493" s="13">
        <v>0</v>
      </c>
      <c r="F493" s="1" t="str">
        <v>EUR</v>
      </c>
      <c r="G493" s="11">
        <v>0</v>
      </c>
      <c r="H493" s="11">
        <v>0</v>
      </c>
      <c r="I493" s="1">
        <v>0</v>
      </c>
    </row>
    <row r="494" spans="1:9" ht="24" customHeight="1" x14ac:dyDescent="0.25">
      <c r="A494" s="1" t="str">
        <v>2046-06-24</v>
      </c>
      <c r="B494" s="1" t="str">
        <v>FixedRateCoupon</v>
      </c>
      <c r="C494" s="12">
        <v>688.21916645788747</v>
      </c>
      <c r="D494" s="11">
        <v>0</v>
      </c>
      <c r="E494" s="13">
        <v>8.611111111111111E-2</v>
      </c>
      <c r="F494" s="1" t="str">
        <v>EUR</v>
      </c>
      <c r="G494" s="11">
        <v>0</v>
      </c>
      <c r="H494" s="11">
        <v>0</v>
      </c>
      <c r="I494" s="1">
        <v>0</v>
      </c>
    </row>
    <row r="495" spans="1:9" ht="24" customHeight="1" x14ac:dyDescent="0.25">
      <c r="A495" s="1" t="str">
        <v>2046-06-24</v>
      </c>
      <c r="B495" s="1" t="str">
        <v>Redemption</v>
      </c>
      <c r="C495" s="12">
        <v>824.39367708741338</v>
      </c>
      <c r="D495" s="11">
        <v>0</v>
      </c>
      <c r="E495" s="13">
        <v>0</v>
      </c>
      <c r="F495" s="1" t="str">
        <v>EUR</v>
      </c>
      <c r="G495" s="11">
        <v>0</v>
      </c>
      <c r="H495" s="11">
        <v>0</v>
      </c>
      <c r="I495" s="1">
        <v>0</v>
      </c>
    </row>
    <row r="496" spans="1:9" ht="24" customHeight="1" x14ac:dyDescent="0.25">
      <c r="A496" s="1" t="str">
        <v>2046-07-24</v>
      </c>
      <c r="B496" s="1" t="str">
        <v>FixedRateCoupon</v>
      </c>
      <c r="C496" s="12">
        <v>661.89657979961521</v>
      </c>
      <c r="D496" s="11">
        <v>0</v>
      </c>
      <c r="E496" s="13">
        <v>8.3333333333333329E-2</v>
      </c>
      <c r="F496" s="1" t="str">
        <v>EUR</v>
      </c>
      <c r="G496" s="11">
        <v>0</v>
      </c>
      <c r="H496" s="11">
        <v>0</v>
      </c>
      <c r="I496" s="1">
        <v>0</v>
      </c>
    </row>
    <row r="497" spans="1:9" ht="24" customHeight="1" x14ac:dyDescent="0.25">
      <c r="A497" s="1" t="str">
        <v>2046-07-24</v>
      </c>
      <c r="B497" s="1" t="str">
        <v>Redemption</v>
      </c>
      <c r="C497" s="12">
        <v>850.71626374570769</v>
      </c>
      <c r="D497" s="11">
        <v>0</v>
      </c>
      <c r="E497" s="13">
        <v>0</v>
      </c>
      <c r="F497" s="1" t="str">
        <v>EUR</v>
      </c>
      <c r="G497" s="11">
        <v>0</v>
      </c>
      <c r="H497" s="11">
        <v>0</v>
      </c>
      <c r="I497" s="1">
        <v>0</v>
      </c>
    </row>
    <row r="498" spans="1:9" ht="24" customHeight="1" x14ac:dyDescent="0.25">
      <c r="A498" s="1" t="str">
        <v>2046-08-24</v>
      </c>
      <c r="B498" s="1" t="str">
        <v>FixedRateCoupon</v>
      </c>
      <c r="C498" s="12">
        <v>679.564431763583</v>
      </c>
      <c r="D498" s="11">
        <v>0</v>
      </c>
      <c r="E498" s="13">
        <v>8.611111111111111E-2</v>
      </c>
      <c r="F498" s="1" t="str">
        <v>EUR</v>
      </c>
      <c r="G498" s="11">
        <v>0</v>
      </c>
      <c r="H498" s="11">
        <v>0</v>
      </c>
      <c r="I498" s="1">
        <v>0</v>
      </c>
    </row>
    <row r="499" spans="1:9" ht="24" customHeight="1" x14ac:dyDescent="0.25">
      <c r="A499" s="1" t="str">
        <v>2046-08-24</v>
      </c>
      <c r="B499" s="1" t="str">
        <v>Redemption</v>
      </c>
      <c r="C499" s="12">
        <v>833.04841178171046</v>
      </c>
      <c r="D499" s="11">
        <v>0</v>
      </c>
      <c r="E499" s="13">
        <v>0</v>
      </c>
      <c r="F499" s="1" t="str">
        <v>EUR</v>
      </c>
      <c r="G499" s="11">
        <v>0</v>
      </c>
      <c r="H499" s="11">
        <v>0</v>
      </c>
      <c r="I499" s="1">
        <v>0</v>
      </c>
    </row>
    <row r="500" spans="1:9" ht="24" customHeight="1" x14ac:dyDescent="0.25">
      <c r="A500" s="1" t="str">
        <v>2046-09-24</v>
      </c>
      <c r="B500" s="1" t="str">
        <v>FixedRateCoupon</v>
      </c>
      <c r="C500" s="12">
        <v>675.26034830271078</v>
      </c>
      <c r="D500" s="11">
        <v>0</v>
      </c>
      <c r="E500" s="13">
        <v>8.611111111111111E-2</v>
      </c>
      <c r="F500" s="1" t="str">
        <v>EUR</v>
      </c>
      <c r="G500" s="11">
        <v>0</v>
      </c>
      <c r="H500" s="11">
        <v>0</v>
      </c>
      <c r="I500" s="1">
        <v>0</v>
      </c>
    </row>
    <row r="501" spans="1:9" ht="24" customHeight="1" x14ac:dyDescent="0.25">
      <c r="A501" s="1" t="str">
        <v>2046-09-24</v>
      </c>
      <c r="B501" s="1" t="str">
        <v>Redemption</v>
      </c>
      <c r="C501" s="12">
        <v>837.35249524257961</v>
      </c>
      <c r="D501" s="11">
        <v>0</v>
      </c>
      <c r="E501" s="13">
        <v>0</v>
      </c>
      <c r="F501" s="1" t="str">
        <v>EUR</v>
      </c>
      <c r="G501" s="11">
        <v>0</v>
      </c>
      <c r="H501" s="11">
        <v>0</v>
      </c>
      <c r="I501" s="1">
        <v>0</v>
      </c>
    </row>
    <row r="502" spans="1:9" ht="24" customHeight="1" x14ac:dyDescent="0.25">
      <c r="A502" s="1" t="str">
        <v>2046-10-24</v>
      </c>
      <c r="B502" s="1" t="str">
        <v>FixedRateCoupon</v>
      </c>
      <c r="C502" s="12">
        <v>649.29099394576531</v>
      </c>
      <c r="D502" s="11">
        <v>0</v>
      </c>
      <c r="E502" s="13">
        <v>8.3333333333333329E-2</v>
      </c>
      <c r="F502" s="1" t="str">
        <v>EUR</v>
      </c>
      <c r="G502" s="11">
        <v>0</v>
      </c>
      <c r="H502" s="11">
        <v>0</v>
      </c>
      <c r="I502" s="1">
        <v>0</v>
      </c>
    </row>
    <row r="503" spans="1:9" ht="24" customHeight="1" x14ac:dyDescent="0.25">
      <c r="A503" s="1" t="str">
        <v>2046-10-24</v>
      </c>
      <c r="B503" s="1" t="str">
        <v>Redemption</v>
      </c>
      <c r="C503" s="12">
        <v>863.32184959955339</v>
      </c>
      <c r="D503" s="11">
        <v>0</v>
      </c>
      <c r="E503" s="13">
        <v>0</v>
      </c>
      <c r="F503" s="1" t="str">
        <v>EUR</v>
      </c>
      <c r="G503" s="11">
        <v>0</v>
      </c>
      <c r="H503" s="11">
        <v>0</v>
      </c>
      <c r="I503" s="1">
        <v>0</v>
      </c>
    </row>
    <row r="504" spans="1:9" ht="24" customHeight="1" x14ac:dyDescent="0.25">
      <c r="A504" s="1" t="str">
        <v>2046-11-24</v>
      </c>
      <c r="B504" s="1" t="str">
        <v>FixedRateCoupon</v>
      </c>
      <c r="C504" s="12">
        <v>666.47353085435975</v>
      </c>
      <c r="D504" s="11">
        <v>0</v>
      </c>
      <c r="E504" s="13">
        <v>8.611111111111111E-2</v>
      </c>
      <c r="F504" s="1" t="str">
        <v>EUR</v>
      </c>
      <c r="G504" s="11">
        <v>0</v>
      </c>
      <c r="H504" s="11">
        <v>0</v>
      </c>
      <c r="I504" s="1">
        <v>0</v>
      </c>
    </row>
    <row r="505" spans="1:9" ht="24" customHeight="1" x14ac:dyDescent="0.25">
      <c r="A505" s="1" t="str">
        <v>2046-11-24</v>
      </c>
      <c r="B505" s="1" t="str">
        <v>Redemption</v>
      </c>
      <c r="C505" s="12">
        <v>846.13931269093882</v>
      </c>
      <c r="D505" s="11">
        <v>0</v>
      </c>
      <c r="E505" s="13">
        <v>0</v>
      </c>
      <c r="F505" s="1" t="str">
        <v>EUR</v>
      </c>
      <c r="G505" s="11">
        <v>0</v>
      </c>
      <c r="H505" s="11">
        <v>0</v>
      </c>
      <c r="I505" s="1">
        <v>0</v>
      </c>
    </row>
    <row r="506" spans="1:9" ht="24" customHeight="1" x14ac:dyDescent="0.25">
      <c r="A506" s="1" t="str">
        <v>2046-12-24</v>
      </c>
      <c r="B506" s="1" t="str">
        <v>FixedRateCoupon</v>
      </c>
      <c r="C506" s="12">
        <v>640.74368813431272</v>
      </c>
      <c r="D506" s="11">
        <v>0</v>
      </c>
      <c r="E506" s="13">
        <v>8.3333333333333329E-2</v>
      </c>
      <c r="F506" s="1" t="str">
        <v>EUR</v>
      </c>
      <c r="G506" s="11">
        <v>0</v>
      </c>
      <c r="H506" s="11">
        <v>0</v>
      </c>
      <c r="I506" s="1">
        <v>0</v>
      </c>
    </row>
    <row r="507" spans="1:9" ht="24" customHeight="1" x14ac:dyDescent="0.25">
      <c r="A507" s="1" t="str">
        <v>2046-12-24</v>
      </c>
      <c r="B507" s="1" t="str">
        <v>Redemption</v>
      </c>
      <c r="C507" s="12">
        <v>871.86915541101189</v>
      </c>
      <c r="D507" s="11">
        <v>0</v>
      </c>
      <c r="E507" s="13">
        <v>0</v>
      </c>
      <c r="F507" s="1" t="str">
        <v>EUR</v>
      </c>
      <c r="G507" s="11">
        <v>0</v>
      </c>
      <c r="H507" s="11">
        <v>0</v>
      </c>
      <c r="I507" s="1">
        <v>0</v>
      </c>
    </row>
    <row r="508" spans="1:9" ht="24" customHeight="1" x14ac:dyDescent="0.25">
      <c r="A508" s="1" t="str">
        <v>2047-01-24</v>
      </c>
      <c r="B508" s="1" t="str">
        <v>FixedRateCoupon</v>
      </c>
      <c r="C508" s="12">
        <v>657.59715376916631</v>
      </c>
      <c r="D508" s="11">
        <v>0</v>
      </c>
      <c r="E508" s="13">
        <v>8.611111111111111E-2</v>
      </c>
      <c r="F508" s="1" t="str">
        <v>EUR</v>
      </c>
      <c r="G508" s="11">
        <v>0</v>
      </c>
      <c r="H508" s="11">
        <v>0</v>
      </c>
      <c r="I508" s="1">
        <v>0</v>
      </c>
    </row>
    <row r="509" spans="1:9" ht="24" customHeight="1" x14ac:dyDescent="0.25">
      <c r="A509" s="1" t="str">
        <v>2047-01-24</v>
      </c>
      <c r="B509" s="1" t="str">
        <v>Redemption</v>
      </c>
      <c r="C509" s="12">
        <v>855.01568977613351</v>
      </c>
      <c r="D509" s="11">
        <v>0</v>
      </c>
      <c r="E509" s="13">
        <v>0</v>
      </c>
      <c r="F509" s="1" t="str">
        <v>EUR</v>
      </c>
      <c r="G509" s="11">
        <v>0</v>
      </c>
      <c r="H509" s="11">
        <v>0</v>
      </c>
      <c r="I509" s="1">
        <v>0</v>
      </c>
    </row>
    <row r="510" spans="1:9" ht="24" customHeight="1" x14ac:dyDescent="0.25">
      <c r="A510" s="1" t="str">
        <v>2047-02-24</v>
      </c>
      <c r="B510" s="1" t="str">
        <v>FixedRateCoupon</v>
      </c>
      <c r="C510" s="12">
        <v>653.17957270532304</v>
      </c>
      <c r="D510" s="11">
        <v>0</v>
      </c>
      <c r="E510" s="13">
        <v>8.611111111111111E-2</v>
      </c>
      <c r="F510" s="1" t="str">
        <v>EUR</v>
      </c>
      <c r="G510" s="11">
        <v>0</v>
      </c>
      <c r="H510" s="11">
        <v>0</v>
      </c>
      <c r="I510" s="1">
        <v>0</v>
      </c>
    </row>
    <row r="511" spans="1:9" ht="24" customHeight="1" x14ac:dyDescent="0.25">
      <c r="A511" s="1" t="str">
        <v>2047-02-24</v>
      </c>
      <c r="B511" s="1" t="str">
        <v>Redemption</v>
      </c>
      <c r="C511" s="12">
        <v>859.43327083997428</v>
      </c>
      <c r="D511" s="11">
        <v>0</v>
      </c>
      <c r="E511" s="13">
        <v>0</v>
      </c>
      <c r="F511" s="1" t="str">
        <v>EUR</v>
      </c>
      <c r="G511" s="11">
        <v>0</v>
      </c>
      <c r="H511" s="11">
        <v>0</v>
      </c>
      <c r="I511" s="1">
        <v>0</v>
      </c>
    </row>
    <row r="512" spans="1:9" ht="24" customHeight="1" x14ac:dyDescent="0.25">
      <c r="A512" s="1" t="str">
        <v>2047-03-24</v>
      </c>
      <c r="B512" s="1" t="str">
        <v>FixedRateCoupon</v>
      </c>
      <c r="C512" s="12">
        <v>585.95795771723215</v>
      </c>
      <c r="D512" s="11">
        <v>0</v>
      </c>
      <c r="E512" s="13">
        <v>7.7777777777777779E-2</v>
      </c>
      <c r="F512" s="1" t="str">
        <v>EUR</v>
      </c>
      <c r="G512" s="11">
        <v>0</v>
      </c>
      <c r="H512" s="11">
        <v>0</v>
      </c>
      <c r="I512" s="1">
        <v>0</v>
      </c>
    </row>
    <row r="513" spans="1:9" ht="24" customHeight="1" x14ac:dyDescent="0.25">
      <c r="A513" s="1" t="str">
        <v>2047-03-24</v>
      </c>
      <c r="B513" s="1" t="str">
        <v>Redemption</v>
      </c>
      <c r="C513" s="12">
        <v>926.65488582808757</v>
      </c>
      <c r="D513" s="11">
        <v>0</v>
      </c>
      <c r="E513" s="13">
        <v>0</v>
      </c>
      <c r="F513" s="1" t="str">
        <v>EUR</v>
      </c>
      <c r="G513" s="11">
        <v>0</v>
      </c>
      <c r="H513" s="11">
        <v>0</v>
      </c>
      <c r="I513" s="1">
        <v>0</v>
      </c>
    </row>
    <row r="514" spans="1:9" ht="24" customHeight="1" x14ac:dyDescent="0.25">
      <c r="A514" s="1" t="str">
        <v>2047-04-24</v>
      </c>
      <c r="B514" s="1" t="str">
        <v>FixedRateCoupon</v>
      </c>
      <c r="C514" s="12">
        <v>643.95145056253796</v>
      </c>
      <c r="D514" s="11">
        <v>0</v>
      </c>
      <c r="E514" s="13">
        <v>8.611111111111111E-2</v>
      </c>
      <c r="F514" s="1" t="str">
        <v>EUR</v>
      </c>
      <c r="G514" s="11">
        <v>0</v>
      </c>
      <c r="H514" s="11">
        <v>0</v>
      </c>
      <c r="I514" s="1">
        <v>0</v>
      </c>
    </row>
    <row r="515" spans="1:9" ht="24" customHeight="1" x14ac:dyDescent="0.25">
      <c r="A515" s="1" t="str">
        <v>2047-04-24</v>
      </c>
      <c r="B515" s="1" t="str">
        <v>Redemption</v>
      </c>
      <c r="C515" s="12">
        <v>868.66139298275812</v>
      </c>
      <c r="D515" s="11">
        <v>0</v>
      </c>
      <c r="E515" s="13">
        <v>0</v>
      </c>
      <c r="F515" s="1" t="str">
        <v>EUR</v>
      </c>
      <c r="G515" s="11">
        <v>0</v>
      </c>
      <c r="H515" s="11">
        <v>0</v>
      </c>
      <c r="I515" s="1">
        <v>0</v>
      </c>
    </row>
    <row r="516" spans="1:9" ht="24" customHeight="1" x14ac:dyDescent="0.25">
      <c r="A516" s="1" t="str">
        <v>2047-05-24</v>
      </c>
      <c r="B516" s="1" t="str">
        <v>FixedRateCoupon</v>
      </c>
      <c r="C516" s="12">
        <v>618.83551616012289</v>
      </c>
      <c r="D516" s="11">
        <v>0</v>
      </c>
      <c r="E516" s="13">
        <v>8.3333333333333329E-2</v>
      </c>
      <c r="F516" s="1" t="str">
        <v>EUR</v>
      </c>
      <c r="G516" s="11">
        <v>0</v>
      </c>
      <c r="H516" s="11">
        <v>0</v>
      </c>
      <c r="I516" s="1">
        <v>0</v>
      </c>
    </row>
    <row r="517" spans="1:9" ht="24" customHeight="1" x14ac:dyDescent="0.25">
      <c r="A517" s="1" t="str">
        <v>2047-05-24</v>
      </c>
      <c r="B517" s="1" t="str">
        <v>Redemption</v>
      </c>
      <c r="C517" s="12">
        <v>893.77732738519262</v>
      </c>
      <c r="D517" s="11">
        <v>0</v>
      </c>
      <c r="E517" s="13">
        <v>0</v>
      </c>
      <c r="F517" s="1" t="str">
        <v>EUR</v>
      </c>
      <c r="G517" s="11">
        <v>0</v>
      </c>
      <c r="H517" s="11">
        <v>0</v>
      </c>
      <c r="I517" s="1">
        <v>0</v>
      </c>
    </row>
    <row r="518" spans="1:9" ht="24" customHeight="1" x14ac:dyDescent="0.25">
      <c r="A518" s="1" t="str">
        <v>2047-06-24</v>
      </c>
      <c r="B518" s="1" t="str">
        <v>FixedRateCoupon</v>
      </c>
      <c r="C518" s="12">
        <v>634.84551717397028</v>
      </c>
      <c r="D518" s="11">
        <v>0</v>
      </c>
      <c r="E518" s="13">
        <v>8.611111111111111E-2</v>
      </c>
      <c r="F518" s="1" t="str">
        <v>EUR</v>
      </c>
      <c r="G518" s="11">
        <v>0</v>
      </c>
      <c r="H518" s="11">
        <v>0</v>
      </c>
      <c r="I518" s="1">
        <v>0</v>
      </c>
    </row>
    <row r="519" spans="1:9" ht="24" customHeight="1" x14ac:dyDescent="0.25">
      <c r="A519" s="1" t="str">
        <v>2047-06-24</v>
      </c>
      <c r="B519" s="1" t="str">
        <v>Redemption</v>
      </c>
      <c r="C519" s="12">
        <v>877.76732637132227</v>
      </c>
      <c r="D519" s="11">
        <v>0</v>
      </c>
      <c r="E519" s="13">
        <v>0</v>
      </c>
      <c r="F519" s="1" t="str">
        <v>EUR</v>
      </c>
      <c r="G519" s="11">
        <v>0</v>
      </c>
      <c r="H519" s="11">
        <v>0</v>
      </c>
      <c r="I519" s="1">
        <v>0</v>
      </c>
    </row>
    <row r="520" spans="1:9" ht="24" customHeight="1" x14ac:dyDescent="0.25">
      <c r="A520" s="1" t="str">
        <v>2047-07-24</v>
      </c>
      <c r="B520" s="1" t="str">
        <v>FixedRateCoupon</v>
      </c>
      <c r="C520" s="12">
        <v>609.9777928913403</v>
      </c>
      <c r="D520" s="11">
        <v>0</v>
      </c>
      <c r="E520" s="13">
        <v>8.3333333333333329E-2</v>
      </c>
      <c r="F520" s="1" t="str">
        <v>EUR</v>
      </c>
      <c r="G520" s="11">
        <v>0</v>
      </c>
      <c r="H520" s="11">
        <v>0</v>
      </c>
      <c r="I520" s="1">
        <v>0</v>
      </c>
    </row>
    <row r="521" spans="1:9" ht="24" customHeight="1" x14ac:dyDescent="0.25">
      <c r="A521" s="1" t="str">
        <v>2047-07-24</v>
      </c>
      <c r="B521" s="1" t="str">
        <v>Redemption</v>
      </c>
      <c r="C521" s="12">
        <v>902.63505065397476</v>
      </c>
      <c r="D521" s="11">
        <v>0</v>
      </c>
      <c r="E521" s="13">
        <v>0</v>
      </c>
      <c r="F521" s="1" t="str">
        <v>EUR</v>
      </c>
      <c r="G521" s="11">
        <v>0</v>
      </c>
      <c r="H521" s="11">
        <v>0</v>
      </c>
      <c r="I521" s="1">
        <v>0</v>
      </c>
    </row>
    <row r="522" spans="1:9" ht="24" customHeight="1" x14ac:dyDescent="0.25">
      <c r="A522" s="1" t="str">
        <v>2047-08-24</v>
      </c>
      <c r="B522" s="1" t="str">
        <v>FixedRateCoupon</v>
      </c>
      <c r="C522" s="12">
        <v>625.64677155933953</v>
      </c>
      <c r="D522" s="11">
        <v>0</v>
      </c>
      <c r="E522" s="13">
        <v>8.611111111111111E-2</v>
      </c>
      <c r="F522" s="1" t="str">
        <v>EUR</v>
      </c>
      <c r="G522" s="11">
        <v>0</v>
      </c>
      <c r="H522" s="11">
        <v>0</v>
      </c>
      <c r="I522" s="1">
        <v>0</v>
      </c>
    </row>
    <row r="523" spans="1:9" ht="24" customHeight="1" x14ac:dyDescent="0.25">
      <c r="A523" s="1" t="str">
        <v>2047-08-24</v>
      </c>
      <c r="B523" s="1" t="str">
        <v>Redemption</v>
      </c>
      <c r="C523" s="12">
        <v>886.96607198595302</v>
      </c>
      <c r="D523" s="11">
        <v>0</v>
      </c>
      <c r="E523" s="13">
        <v>0</v>
      </c>
      <c r="F523" s="1" t="str">
        <v>EUR</v>
      </c>
      <c r="G523" s="11">
        <v>0</v>
      </c>
      <c r="H523" s="11">
        <v>0</v>
      </c>
      <c r="I523" s="1">
        <v>0</v>
      </c>
    </row>
    <row r="524" spans="1:9" ht="24" customHeight="1" x14ac:dyDescent="0.25">
      <c r="A524" s="1" t="str">
        <v>2047-09-24</v>
      </c>
      <c r="B524" s="1" t="str">
        <v>FixedRateCoupon</v>
      </c>
      <c r="C524" s="12">
        <v>621.06411352074542</v>
      </c>
      <c r="D524" s="11">
        <v>0</v>
      </c>
      <c r="E524" s="13">
        <v>8.611111111111111E-2</v>
      </c>
      <c r="F524" s="1" t="str">
        <v>EUR</v>
      </c>
      <c r="G524" s="11">
        <v>0</v>
      </c>
      <c r="H524" s="11">
        <v>0</v>
      </c>
      <c r="I524" s="1">
        <v>0</v>
      </c>
    </row>
    <row r="525" spans="1:9" ht="24" customHeight="1" x14ac:dyDescent="0.25">
      <c r="A525" s="1" t="str">
        <v>2047-09-24</v>
      </c>
      <c r="B525" s="1" t="str">
        <v>Redemption</v>
      </c>
      <c r="C525" s="12">
        <v>891.54873002454406</v>
      </c>
      <c r="D525" s="11">
        <v>0</v>
      </c>
      <c r="E525" s="13">
        <v>0</v>
      </c>
      <c r="F525" s="1" t="str">
        <v>EUR</v>
      </c>
      <c r="G525" s="11">
        <v>0</v>
      </c>
      <c r="H525" s="11">
        <v>0</v>
      </c>
      <c r="I525" s="1">
        <v>0</v>
      </c>
    </row>
    <row r="526" spans="1:9" ht="24" customHeight="1" x14ac:dyDescent="0.25">
      <c r="A526" s="1" t="str">
        <v>2047-10-24</v>
      </c>
      <c r="B526" s="1" t="str">
        <v>FixedRateCoupon</v>
      </c>
      <c r="C526" s="12">
        <v>596.57204362801804</v>
      </c>
      <c r="D526" s="11">
        <v>0</v>
      </c>
      <c r="E526" s="13">
        <v>8.3333333333333329E-2</v>
      </c>
      <c r="F526" s="1" t="str">
        <v>EUR</v>
      </c>
      <c r="G526" s="11">
        <v>0</v>
      </c>
      <c r="H526" s="11">
        <v>0</v>
      </c>
      <c r="I526" s="1">
        <v>0</v>
      </c>
    </row>
    <row r="527" spans="1:9" ht="24" customHeight="1" x14ac:dyDescent="0.25">
      <c r="A527" s="1" t="str">
        <v>2047-10-24</v>
      </c>
      <c r="B527" s="1" t="str">
        <v>Redemption</v>
      </c>
      <c r="C527" s="12">
        <v>916.04079991730396</v>
      </c>
      <c r="D527" s="11">
        <v>0</v>
      </c>
      <c r="E527" s="13">
        <v>0</v>
      </c>
      <c r="F527" s="1" t="str">
        <v>EUR</v>
      </c>
      <c r="G527" s="11">
        <v>0</v>
      </c>
      <c r="H527" s="11">
        <v>0</v>
      </c>
      <c r="I527" s="1">
        <v>0</v>
      </c>
    </row>
    <row r="528" spans="1:9" ht="24" customHeight="1" x14ac:dyDescent="0.25">
      <c r="A528" s="1" t="str">
        <v>2047-11-24</v>
      </c>
      <c r="B528" s="1" t="str">
        <v>FixedRateCoupon</v>
      </c>
      <c r="C528" s="12">
        <v>611.72490094937928</v>
      </c>
      <c r="D528" s="11">
        <v>0</v>
      </c>
      <c r="E528" s="13">
        <v>8.611111111111111E-2</v>
      </c>
      <c r="F528" s="1" t="str">
        <v>EUR</v>
      </c>
      <c r="G528" s="11">
        <v>0</v>
      </c>
      <c r="H528" s="11">
        <v>0</v>
      </c>
      <c r="I528" s="1">
        <v>0</v>
      </c>
    </row>
    <row r="529" spans="1:9" ht="24" customHeight="1" x14ac:dyDescent="0.25">
      <c r="A529" s="1" t="str">
        <v>2047-11-24</v>
      </c>
      <c r="B529" s="1" t="str">
        <v>Redemption</v>
      </c>
      <c r="C529" s="12">
        <v>900.88794259591668</v>
      </c>
      <c r="D529" s="11">
        <v>0</v>
      </c>
      <c r="E529" s="13">
        <v>0</v>
      </c>
      <c r="F529" s="1" t="str">
        <v>EUR</v>
      </c>
      <c r="G529" s="11">
        <v>0</v>
      </c>
      <c r="H529" s="11">
        <v>0</v>
      </c>
      <c r="I529" s="1">
        <v>0</v>
      </c>
    </row>
    <row r="530" spans="1:9" ht="24" customHeight="1" x14ac:dyDescent="0.25">
      <c r="A530" s="1" t="str">
        <v>2047-12-24</v>
      </c>
      <c r="B530" s="1" t="str">
        <v>FixedRateCoupon</v>
      </c>
      <c r="C530" s="12">
        <v>587.48739991545187</v>
      </c>
      <c r="D530" s="11">
        <v>0</v>
      </c>
      <c r="E530" s="13">
        <v>8.3333333333333329E-2</v>
      </c>
      <c r="F530" s="1" t="str">
        <v>EUR</v>
      </c>
      <c r="G530" s="11">
        <v>0</v>
      </c>
      <c r="H530" s="11">
        <v>0</v>
      </c>
      <c r="I530" s="1">
        <v>0</v>
      </c>
    </row>
    <row r="531" spans="1:9" ht="24" customHeight="1" x14ac:dyDescent="0.25">
      <c r="A531" s="1" t="str">
        <v>2047-12-24</v>
      </c>
      <c r="B531" s="1" t="str">
        <v>Redemption</v>
      </c>
      <c r="C531" s="12">
        <v>925.12544362986227</v>
      </c>
      <c r="D531" s="11">
        <v>0</v>
      </c>
      <c r="E531" s="13">
        <v>0</v>
      </c>
      <c r="F531" s="1" t="str">
        <v>EUR</v>
      </c>
      <c r="G531" s="11">
        <v>0</v>
      </c>
      <c r="H531" s="11">
        <v>0</v>
      </c>
      <c r="I531" s="1">
        <v>0</v>
      </c>
    </row>
    <row r="532" spans="1:9" ht="24" customHeight="1" x14ac:dyDescent="0.25">
      <c r="A532" s="1" t="str">
        <v>2048-01-24</v>
      </c>
      <c r="B532" s="1" t="str">
        <v>FixedRateCoupon</v>
      </c>
      <c r="C532" s="12">
        <v>602.29049845387942</v>
      </c>
      <c r="D532" s="11">
        <v>0</v>
      </c>
      <c r="E532" s="13">
        <v>8.611111111111111E-2</v>
      </c>
      <c r="F532" s="1" t="str">
        <v>EUR</v>
      </c>
      <c r="G532" s="11">
        <v>0</v>
      </c>
      <c r="H532" s="11">
        <v>0</v>
      </c>
      <c r="I532" s="1">
        <v>0</v>
      </c>
    </row>
    <row r="533" spans="1:9" ht="24" customHeight="1" x14ac:dyDescent="0.25">
      <c r="A533" s="1" t="str">
        <v>2048-01-24</v>
      </c>
      <c r="B533" s="1" t="str">
        <v>Redemption</v>
      </c>
      <c r="C533" s="12">
        <v>910.32234509140835</v>
      </c>
      <c r="D533" s="11">
        <v>0</v>
      </c>
      <c r="E533" s="13">
        <v>0</v>
      </c>
      <c r="F533" s="1" t="str">
        <v>EUR</v>
      </c>
      <c r="G533" s="11">
        <v>0</v>
      </c>
      <c r="H533" s="11">
        <v>0</v>
      </c>
      <c r="I533" s="1">
        <v>0</v>
      </c>
    </row>
    <row r="534" spans="1:9" ht="24" customHeight="1" x14ac:dyDescent="0.25">
      <c r="A534" s="1" t="str">
        <v>2048-02-24</v>
      </c>
      <c r="B534" s="1" t="str">
        <v>FixedRateCoupon</v>
      </c>
      <c r="C534" s="12">
        <v>597.58716633757376</v>
      </c>
      <c r="D534" s="11">
        <v>0</v>
      </c>
      <c r="E534" s="13">
        <v>8.611111111111111E-2</v>
      </c>
      <c r="F534" s="1" t="str">
        <v>EUR</v>
      </c>
      <c r="G534" s="11">
        <v>0</v>
      </c>
      <c r="H534" s="11">
        <v>0</v>
      </c>
      <c r="I534" s="1">
        <v>0</v>
      </c>
    </row>
    <row r="535" spans="1:9" ht="24" customHeight="1" x14ac:dyDescent="0.25">
      <c r="A535" s="1" t="str">
        <v>2048-02-24</v>
      </c>
      <c r="B535" s="1" t="str">
        <v>Redemption</v>
      </c>
      <c r="C535" s="12">
        <v>915.0256772077264</v>
      </c>
      <c r="D535" s="11">
        <v>0</v>
      </c>
      <c r="E535" s="13">
        <v>0</v>
      </c>
      <c r="F535" s="1" t="str">
        <v>EUR</v>
      </c>
      <c r="G535" s="11">
        <v>0</v>
      </c>
      <c r="H535" s="11">
        <v>0</v>
      </c>
      <c r="I535" s="1">
        <v>0</v>
      </c>
    </row>
    <row r="536" spans="1:9" ht="24" customHeight="1" x14ac:dyDescent="0.25">
      <c r="A536" s="1" t="str">
        <v>2048-03-24</v>
      </c>
      <c r="B536" s="1" t="str">
        <v>FixedRateCoupon</v>
      </c>
      <c r="C536" s="12">
        <v>554.61053149961344</v>
      </c>
      <c r="D536" s="11">
        <v>0</v>
      </c>
      <c r="E536" s="13">
        <v>8.0555555555555561E-2</v>
      </c>
      <c r="F536" s="1" t="str">
        <v>EUR</v>
      </c>
      <c r="G536" s="11">
        <v>0</v>
      </c>
      <c r="H536" s="11">
        <v>0</v>
      </c>
      <c r="I536" s="1">
        <v>0</v>
      </c>
    </row>
    <row r="537" spans="1:9" ht="24" customHeight="1" x14ac:dyDescent="0.25">
      <c r="A537" s="1" t="str">
        <v>2048-03-24</v>
      </c>
      <c r="B537" s="1" t="str">
        <v>Redemption</v>
      </c>
      <c r="C537" s="12">
        <v>958.00231204570446</v>
      </c>
      <c r="D537" s="11">
        <v>0</v>
      </c>
      <c r="E537" s="13">
        <v>0</v>
      </c>
      <c r="F537" s="1" t="str">
        <v>EUR</v>
      </c>
      <c r="G537" s="11">
        <v>0</v>
      </c>
      <c r="H537" s="11">
        <v>0</v>
      </c>
      <c r="I537" s="1">
        <v>0</v>
      </c>
    </row>
    <row r="538" spans="1:9" ht="24" customHeight="1" x14ac:dyDescent="0.25">
      <c r="A538" s="1" t="str">
        <v>2048-04-24</v>
      </c>
      <c r="B538" s="1" t="str">
        <v>FixedRateCoupon</v>
      </c>
      <c r="C538" s="12">
        <v>587.90985505976437</v>
      </c>
      <c r="D538" s="11">
        <v>0</v>
      </c>
      <c r="E538" s="13">
        <v>8.611111111111111E-2</v>
      </c>
      <c r="F538" s="1" t="str">
        <v>EUR</v>
      </c>
      <c r="G538" s="11">
        <v>0</v>
      </c>
      <c r="H538" s="11">
        <v>0</v>
      </c>
      <c r="I538" s="1">
        <v>0</v>
      </c>
    </row>
    <row r="539" spans="1:9" ht="24" customHeight="1" x14ac:dyDescent="0.25">
      <c r="A539" s="1" t="str">
        <v>2048-04-24</v>
      </c>
      <c r="B539" s="1" t="str">
        <v>Redemption</v>
      </c>
      <c r="C539" s="12">
        <v>924.7029884855292</v>
      </c>
      <c r="D539" s="11">
        <v>0</v>
      </c>
      <c r="E539" s="13">
        <v>0</v>
      </c>
      <c r="F539" s="1" t="str">
        <v>EUR</v>
      </c>
      <c r="G539" s="11">
        <v>0</v>
      </c>
      <c r="H539" s="11">
        <v>0</v>
      </c>
      <c r="I539" s="1">
        <v>0</v>
      </c>
    </row>
    <row r="540" spans="1:9" ht="24" customHeight="1" x14ac:dyDescent="0.25">
      <c r="A540" s="1" t="str">
        <v>2048-05-24</v>
      </c>
      <c r="B540" s="1" t="str">
        <v>FixedRateCoupon</v>
      </c>
      <c r="C540" s="12">
        <v>564.32150608315067</v>
      </c>
      <c r="D540" s="11">
        <v>0</v>
      </c>
      <c r="E540" s="13">
        <v>8.3333333333333329E-2</v>
      </c>
      <c r="F540" s="1" t="str">
        <v>EUR</v>
      </c>
      <c r="G540" s="11">
        <v>0</v>
      </c>
      <c r="H540" s="11">
        <v>0</v>
      </c>
      <c r="I540" s="1">
        <v>0</v>
      </c>
    </row>
    <row r="541" spans="1:9" ht="24" customHeight="1" x14ac:dyDescent="0.25">
      <c r="A541" s="1" t="str">
        <v>2048-05-24</v>
      </c>
      <c r="B541" s="1" t="str">
        <v>Redemption</v>
      </c>
      <c r="C541" s="12">
        <v>948.29133746217121</v>
      </c>
      <c r="D541" s="11">
        <v>0</v>
      </c>
      <c r="E541" s="13">
        <v>0</v>
      </c>
      <c r="F541" s="1" t="str">
        <v>EUR</v>
      </c>
      <c r="G541" s="11">
        <v>0</v>
      </c>
      <c r="H541" s="11">
        <v>0</v>
      </c>
      <c r="I541" s="1">
        <v>0</v>
      </c>
    </row>
    <row r="542" spans="1:9" ht="24" customHeight="1" x14ac:dyDescent="0.25">
      <c r="A542" s="1" t="str">
        <v>2048-06-24</v>
      </c>
      <c r="B542" s="1" t="str">
        <v>FixedRateCoupon</v>
      </c>
      <c r="C542" s="12">
        <v>578.23271770903455</v>
      </c>
      <c r="D542" s="11">
        <v>0</v>
      </c>
      <c r="E542" s="13">
        <v>8.611111111111111E-2</v>
      </c>
      <c r="F542" s="1" t="str">
        <v>EUR</v>
      </c>
      <c r="G542" s="11">
        <v>0</v>
      </c>
      <c r="H542" s="11">
        <v>0</v>
      </c>
      <c r="I542" s="1">
        <v>0</v>
      </c>
    </row>
    <row r="543" spans="1:9" ht="24" customHeight="1" x14ac:dyDescent="0.25">
      <c r="A543" s="1" t="str">
        <v>2048-06-24</v>
      </c>
      <c r="B543" s="1" t="str">
        <v>Redemption</v>
      </c>
      <c r="C543" s="12">
        <v>934.38012583626551</v>
      </c>
      <c r="D543" s="11">
        <v>0</v>
      </c>
      <c r="E543" s="13">
        <v>0</v>
      </c>
      <c r="F543" s="1" t="str">
        <v>EUR</v>
      </c>
      <c r="G543" s="11">
        <v>0</v>
      </c>
      <c r="H543" s="11">
        <v>0</v>
      </c>
      <c r="I543" s="1">
        <v>0</v>
      </c>
    </row>
    <row r="544" spans="1:9" ht="24" customHeight="1" x14ac:dyDescent="0.25">
      <c r="A544" s="1" t="str">
        <v>2048-07-24</v>
      </c>
      <c r="B544" s="1" t="str">
        <v>FixedRateCoupon</v>
      </c>
      <c r="C544" s="12">
        <v>554.90814876665854</v>
      </c>
      <c r="D544" s="11">
        <v>0</v>
      </c>
      <c r="E544" s="13">
        <v>8.3333333333333329E-2</v>
      </c>
      <c r="F544" s="1" t="str">
        <v>EUR</v>
      </c>
      <c r="G544" s="11">
        <v>0</v>
      </c>
      <c r="H544" s="11">
        <v>0</v>
      </c>
      <c r="I544" s="1">
        <v>0</v>
      </c>
    </row>
    <row r="545" spans="1:9" ht="24" customHeight="1" x14ac:dyDescent="0.25">
      <c r="A545" s="1" t="str">
        <v>2048-07-24</v>
      </c>
      <c r="B545" s="1" t="str">
        <v>Redemption</v>
      </c>
      <c r="C545" s="12">
        <v>957.70469477865845</v>
      </c>
      <c r="D545" s="11">
        <v>0</v>
      </c>
      <c r="E545" s="13">
        <v>0</v>
      </c>
      <c r="F545" s="1" t="str">
        <v>EUR</v>
      </c>
      <c r="G545" s="11">
        <v>0</v>
      </c>
      <c r="H545" s="11">
        <v>0</v>
      </c>
      <c r="I545" s="1">
        <v>0</v>
      </c>
    </row>
    <row r="546" spans="1:9" ht="24" customHeight="1" x14ac:dyDescent="0.25">
      <c r="A546" s="1" t="str">
        <v>2048-08-24</v>
      </c>
      <c r="B546" s="1" t="str">
        <v>FixedRateCoupon</v>
      </c>
      <c r="C546" s="12">
        <v>568.45694613585749</v>
      </c>
      <c r="D546" s="11">
        <v>0</v>
      </c>
      <c r="E546" s="13">
        <v>8.611111111111111E-2</v>
      </c>
      <c r="F546" s="1" t="str">
        <v>EUR</v>
      </c>
      <c r="G546" s="11">
        <v>0</v>
      </c>
      <c r="H546" s="11">
        <v>0</v>
      </c>
      <c r="I546" s="1">
        <v>0</v>
      </c>
    </row>
    <row r="547" spans="1:9" ht="24" customHeight="1" x14ac:dyDescent="0.25">
      <c r="A547" s="1" t="str">
        <v>2048-08-24</v>
      </c>
      <c r="B547" s="1" t="str">
        <v>Redemption</v>
      </c>
      <c r="C547" s="12">
        <v>944.15589740943688</v>
      </c>
      <c r="D547" s="11">
        <v>0</v>
      </c>
      <c r="E547" s="13">
        <v>0</v>
      </c>
      <c r="F547" s="1" t="str">
        <v>EUR</v>
      </c>
      <c r="G547" s="11">
        <v>0</v>
      </c>
      <c r="H547" s="11">
        <v>0</v>
      </c>
      <c r="I547" s="1">
        <v>0</v>
      </c>
    </row>
    <row r="548" spans="1:9" ht="24" customHeight="1" x14ac:dyDescent="0.25">
      <c r="A548" s="1" t="str">
        <v>2048-09-24</v>
      </c>
      <c r="B548" s="1" t="str">
        <v>FixedRateCoupon</v>
      </c>
      <c r="C548" s="12">
        <v>563.57880733257537</v>
      </c>
      <c r="D548" s="11">
        <v>0</v>
      </c>
      <c r="E548" s="13">
        <v>8.611111111111111E-2</v>
      </c>
      <c r="F548" s="1" t="str">
        <v>EUR</v>
      </c>
      <c r="G548" s="11">
        <v>0</v>
      </c>
      <c r="H548" s="11">
        <v>0</v>
      </c>
      <c r="I548" s="1">
        <v>0</v>
      </c>
    </row>
    <row r="549" spans="1:9" ht="24" customHeight="1" x14ac:dyDescent="0.25">
      <c r="A549" s="1" t="str">
        <v>2048-09-24</v>
      </c>
      <c r="B549" s="1" t="str">
        <v>Redemption</v>
      </c>
      <c r="C549" s="12">
        <v>949.03403621271718</v>
      </c>
      <c r="D549" s="11">
        <v>0</v>
      </c>
      <c r="E549" s="13">
        <v>0</v>
      </c>
      <c r="F549" s="1" t="str">
        <v>EUR</v>
      </c>
      <c r="G549" s="11">
        <v>0</v>
      </c>
      <c r="H549" s="11">
        <v>0</v>
      </c>
      <c r="I549" s="1">
        <v>0</v>
      </c>
    </row>
    <row r="550" spans="1:9" ht="24" customHeight="1" x14ac:dyDescent="0.25">
      <c r="A550" s="1" t="str">
        <v>2048-10-24</v>
      </c>
      <c r="B550" s="1" t="str">
        <v>FixedRateCoupon</v>
      </c>
      <c r="C550" s="12">
        <v>540.65367562465451</v>
      </c>
      <c r="D550" s="11">
        <v>0</v>
      </c>
      <c r="E550" s="13">
        <v>8.3333333333333329E-2</v>
      </c>
      <c r="F550" s="1" t="str">
        <v>EUR</v>
      </c>
      <c r="G550" s="11">
        <v>0</v>
      </c>
      <c r="H550" s="11">
        <v>0</v>
      </c>
      <c r="I550" s="1">
        <v>0</v>
      </c>
    </row>
    <row r="551" spans="1:9" ht="24" customHeight="1" x14ac:dyDescent="0.25">
      <c r="A551" s="1" t="str">
        <v>2048-10-24</v>
      </c>
      <c r="B551" s="1" t="str">
        <v>Redemption</v>
      </c>
      <c r="C551" s="12">
        <v>971.95916792066419</v>
      </c>
      <c r="D551" s="11">
        <v>0</v>
      </c>
      <c r="E551" s="13">
        <v>0</v>
      </c>
      <c r="F551" s="1" t="str">
        <v>EUR</v>
      </c>
      <c r="G551" s="11">
        <v>0</v>
      </c>
      <c r="H551" s="11">
        <v>0</v>
      </c>
      <c r="I551" s="1">
        <v>0</v>
      </c>
    </row>
    <row r="552" spans="1:9" ht="24" customHeight="1" x14ac:dyDescent="0.25">
      <c r="A552" s="1" t="str">
        <v>2048-11-24</v>
      </c>
      <c r="B552" s="1" t="str">
        <v>FixedRateCoupon</v>
      </c>
      <c r="C552" s="12">
        <v>553.65367577788629</v>
      </c>
      <c r="D552" s="11">
        <v>0</v>
      </c>
      <c r="E552" s="13">
        <v>8.611111111111111E-2</v>
      </c>
      <c r="F552" s="1" t="str">
        <v>EUR</v>
      </c>
      <c r="G552" s="11">
        <v>0</v>
      </c>
      <c r="H552" s="11">
        <v>0</v>
      </c>
      <c r="I552" s="1">
        <v>0</v>
      </c>
    </row>
    <row r="553" spans="1:9" ht="24" customHeight="1" x14ac:dyDescent="0.25">
      <c r="A553" s="1" t="str">
        <v>2048-11-24</v>
      </c>
      <c r="B553" s="1" t="str">
        <v>Redemption</v>
      </c>
      <c r="C553" s="12">
        <v>958.95916776740341</v>
      </c>
      <c r="D553" s="11">
        <v>0</v>
      </c>
      <c r="E553" s="13">
        <v>0</v>
      </c>
      <c r="F553" s="1" t="str">
        <v>EUR</v>
      </c>
      <c r="G553" s="11">
        <v>0</v>
      </c>
      <c r="H553" s="11">
        <v>0</v>
      </c>
      <c r="I553" s="1">
        <v>0</v>
      </c>
    </row>
    <row r="554" spans="1:9" ht="24" customHeight="1" x14ac:dyDescent="0.25">
      <c r="A554" s="1" t="str">
        <v>2048-12-24</v>
      </c>
      <c r="B554" s="1" t="str">
        <v>FixedRateCoupon</v>
      </c>
      <c r="C554" s="12">
        <v>530.99908394621423</v>
      </c>
      <c r="D554" s="11">
        <v>0</v>
      </c>
      <c r="E554" s="13">
        <v>8.3333333333333329E-2</v>
      </c>
      <c r="F554" s="1" t="str">
        <v>EUR</v>
      </c>
      <c r="G554" s="11">
        <v>0</v>
      </c>
      <c r="H554" s="11">
        <v>0</v>
      </c>
      <c r="I554" s="1">
        <v>0</v>
      </c>
    </row>
    <row r="555" spans="1:9" ht="24" customHeight="1" x14ac:dyDescent="0.25">
      <c r="A555" s="1" t="str">
        <v>2048-12-24</v>
      </c>
      <c r="B555" s="1" t="str">
        <v>Redemption</v>
      </c>
      <c r="C555" s="12">
        <v>981.6137595991022</v>
      </c>
      <c r="D555" s="11">
        <v>0</v>
      </c>
      <c r="E555" s="13">
        <v>0</v>
      </c>
      <c r="F555" s="1" t="str">
        <v>EUR</v>
      </c>
      <c r="G555" s="11">
        <v>0</v>
      </c>
      <c r="H555" s="11">
        <v>0</v>
      </c>
      <c r="I555" s="1">
        <v>0</v>
      </c>
    </row>
    <row r="556" spans="1:9" ht="24" customHeight="1" x14ac:dyDescent="0.25">
      <c r="A556" s="1" t="str">
        <v>2049-01-24</v>
      </c>
      <c r="B556" s="1" t="str">
        <v>FixedRateCoupon</v>
      </c>
      <c r="C556" s="12">
        <v>543.62738231982598</v>
      </c>
      <c r="D556" s="11">
        <v>0</v>
      </c>
      <c r="E556" s="13">
        <v>8.611111111111111E-2</v>
      </c>
      <c r="F556" s="1" t="str">
        <v>EUR</v>
      </c>
      <c r="G556" s="11">
        <v>0</v>
      </c>
      <c r="H556" s="11">
        <v>0</v>
      </c>
      <c r="I556" s="1">
        <v>0</v>
      </c>
    </row>
    <row r="557" spans="1:9" ht="24" customHeight="1" x14ac:dyDescent="0.25">
      <c r="A557" s="1" t="str">
        <v>2049-01-24</v>
      </c>
      <c r="B557" s="1" t="str">
        <v>Redemption</v>
      </c>
      <c r="C557" s="12">
        <v>968.98546122547123</v>
      </c>
      <c r="D557" s="11">
        <v>0</v>
      </c>
      <c r="E557" s="13">
        <v>0</v>
      </c>
      <c r="F557" s="1" t="str">
        <v>EUR</v>
      </c>
      <c r="G557" s="11">
        <v>0</v>
      </c>
      <c r="H557" s="11">
        <v>0</v>
      </c>
      <c r="I557" s="1">
        <v>0</v>
      </c>
    </row>
    <row r="558" spans="1:9" ht="24" customHeight="1" x14ac:dyDescent="0.25">
      <c r="A558" s="1" t="str">
        <v>2049-02-24</v>
      </c>
      <c r="B558" s="1" t="str">
        <v>FixedRateCoupon</v>
      </c>
      <c r="C558" s="12">
        <v>538.62095743682767</v>
      </c>
      <c r="D558" s="11">
        <v>0</v>
      </c>
      <c r="E558" s="13">
        <v>8.611111111111111E-2</v>
      </c>
      <c r="F558" s="1" t="str">
        <v>EUR</v>
      </c>
      <c r="G558" s="11">
        <v>0</v>
      </c>
      <c r="H558" s="11">
        <v>0</v>
      </c>
      <c r="I558" s="1">
        <v>0</v>
      </c>
    </row>
    <row r="559" spans="1:9" ht="24" customHeight="1" x14ac:dyDescent="0.25">
      <c r="A559" s="1" t="str">
        <v>2049-02-24</v>
      </c>
      <c r="B559" s="1" t="str">
        <v>Redemption</v>
      </c>
      <c r="C559" s="12">
        <v>973.99188610847341</v>
      </c>
      <c r="D559" s="11">
        <v>0</v>
      </c>
      <c r="E559" s="13">
        <v>0</v>
      </c>
      <c r="F559" s="1" t="str">
        <v>EUR</v>
      </c>
      <c r="G559" s="11">
        <v>0</v>
      </c>
      <c r="H559" s="11">
        <v>0</v>
      </c>
      <c r="I559" s="1">
        <v>0</v>
      </c>
    </row>
    <row r="560" spans="1:9" ht="24" customHeight="1" x14ac:dyDescent="0.25">
      <c r="A560" s="1" t="str">
        <v>2049-03-24</v>
      </c>
      <c r="B560" s="1" t="str">
        <v>FixedRateCoupon</v>
      </c>
      <c r="C560" s="12">
        <v>481.95105318411237</v>
      </c>
      <c r="D560" s="11">
        <v>0</v>
      </c>
      <c r="E560" s="13">
        <v>7.7777777777777779E-2</v>
      </c>
      <c r="F560" s="1" t="str">
        <v>EUR</v>
      </c>
      <c r="G560" s="11">
        <v>0</v>
      </c>
      <c r="H560" s="11">
        <v>0</v>
      </c>
      <c r="I560" s="1">
        <v>0</v>
      </c>
    </row>
    <row r="561" spans="1:9" ht="24" customHeight="1" x14ac:dyDescent="0.25">
      <c r="A561" s="1" t="str">
        <v>2049-03-24</v>
      </c>
      <c r="B561" s="1" t="str">
        <v>Redemption</v>
      </c>
      <c r="C561" s="12">
        <v>1030.6617903612059</v>
      </c>
      <c r="D561" s="11">
        <v>0</v>
      </c>
      <c r="E561" s="13">
        <v>0</v>
      </c>
      <c r="F561" s="1" t="str">
        <v>EUR</v>
      </c>
      <c r="G561" s="11">
        <v>0</v>
      </c>
      <c r="H561" s="11">
        <v>0</v>
      </c>
      <c r="I561" s="1">
        <v>0</v>
      </c>
    </row>
    <row r="562" spans="1:9" ht="24" customHeight="1" x14ac:dyDescent="0.25">
      <c r="A562" s="1" t="str">
        <v>2049-04-24</v>
      </c>
      <c r="B562" s="1" t="str">
        <v>FixedRateCoupon</v>
      </c>
      <c r="C562" s="12">
        <v>528.26358010840102</v>
      </c>
      <c r="D562" s="11">
        <v>0</v>
      </c>
      <c r="E562" s="13">
        <v>8.611111111111111E-2</v>
      </c>
      <c r="F562" s="1" t="str">
        <v>EUR</v>
      </c>
      <c r="G562" s="11">
        <v>0</v>
      </c>
      <c r="H562" s="11">
        <v>0</v>
      </c>
      <c r="I562" s="1">
        <v>0</v>
      </c>
    </row>
    <row r="563" spans="1:9" ht="24" customHeight="1" x14ac:dyDescent="0.25">
      <c r="A563" s="1" t="str">
        <v>2049-04-24</v>
      </c>
      <c r="B563" s="1" t="str">
        <v>Redemption</v>
      </c>
      <c r="C563" s="12">
        <v>984.34926343688858</v>
      </c>
      <c r="D563" s="11">
        <v>0</v>
      </c>
      <c r="E563" s="13">
        <v>0</v>
      </c>
      <c r="F563" s="1" t="str">
        <v>EUR</v>
      </c>
      <c r="G563" s="11">
        <v>0</v>
      </c>
      <c r="H563" s="11">
        <v>0</v>
      </c>
      <c r="I563" s="1">
        <v>0</v>
      </c>
    </row>
    <row r="564" spans="1:9" ht="24" customHeight="1" x14ac:dyDescent="0.25">
      <c r="A564" s="1" t="str">
        <v>2049-05-24</v>
      </c>
      <c r="B564" s="1" t="str">
        <v>FixedRateCoupon</v>
      </c>
      <c r="C564" s="12">
        <v>506.30107314255844</v>
      </c>
      <c r="D564" s="11">
        <v>0</v>
      </c>
      <c r="E564" s="13">
        <v>8.3333333333333329E-2</v>
      </c>
      <c r="F564" s="1" t="str">
        <v>EUR</v>
      </c>
      <c r="G564" s="11">
        <v>0</v>
      </c>
      <c r="H564" s="11">
        <v>0</v>
      </c>
      <c r="I564" s="1">
        <v>0</v>
      </c>
    </row>
    <row r="565" spans="1:9" ht="24" customHeight="1" x14ac:dyDescent="0.25">
      <c r="A565" s="1" t="str">
        <v>2049-05-24</v>
      </c>
      <c r="B565" s="1" t="str">
        <v>Redemption</v>
      </c>
      <c r="C565" s="12">
        <v>1006.3117704027536</v>
      </c>
      <c r="D565" s="11">
        <v>0</v>
      </c>
      <c r="E565" s="13">
        <v>0</v>
      </c>
      <c r="F565" s="1" t="str">
        <v>EUR</v>
      </c>
      <c r="G565" s="11">
        <v>0</v>
      </c>
      <c r="H565" s="11">
        <v>0</v>
      </c>
      <c r="I565" s="1">
        <v>0</v>
      </c>
    </row>
    <row r="566" spans="1:9" ht="24" customHeight="1" x14ac:dyDescent="0.25">
      <c r="A566" s="1" t="str">
        <v>2049-06-24</v>
      </c>
      <c r="B566" s="1" t="str">
        <v>FixedRateCoupon</v>
      </c>
      <c r="C566" s="12">
        <v>517.97849810022956</v>
      </c>
      <c r="D566" s="11">
        <v>0</v>
      </c>
      <c r="E566" s="13">
        <v>8.611111111111111E-2</v>
      </c>
      <c r="F566" s="1" t="str">
        <v>EUR</v>
      </c>
      <c r="G566" s="11">
        <v>0</v>
      </c>
      <c r="H566" s="11">
        <v>0</v>
      </c>
      <c r="I566" s="1">
        <v>0</v>
      </c>
    </row>
    <row r="567" spans="1:9" ht="24" customHeight="1" x14ac:dyDescent="0.25">
      <c r="A567" s="1" t="str">
        <v>2049-06-24</v>
      </c>
      <c r="B567" s="1" t="str">
        <v>Redemption</v>
      </c>
      <c r="C567" s="12">
        <v>994.6343454450689</v>
      </c>
      <c r="D567" s="11">
        <v>0</v>
      </c>
      <c r="E567" s="13">
        <v>0</v>
      </c>
      <c r="F567" s="1" t="str">
        <v>EUR</v>
      </c>
      <c r="G567" s="11">
        <v>0</v>
      </c>
      <c r="H567" s="11">
        <v>0</v>
      </c>
      <c r="I567" s="1">
        <v>0</v>
      </c>
    </row>
    <row r="568" spans="1:9" ht="24" customHeight="1" x14ac:dyDescent="0.25">
      <c r="A568" s="1" t="str">
        <v>2049-07-24</v>
      </c>
      <c r="B568" s="1" t="str">
        <v>FixedRateCoupon</v>
      </c>
      <c r="C568" s="12">
        <v>496.29634256331934</v>
      </c>
      <c r="D568" s="11">
        <v>0</v>
      </c>
      <c r="E568" s="13">
        <v>8.3333333333333329E-2</v>
      </c>
      <c r="F568" s="1" t="str">
        <v>EUR</v>
      </c>
      <c r="G568" s="11">
        <v>0</v>
      </c>
      <c r="H568" s="11">
        <v>0</v>
      </c>
      <c r="I568" s="1">
        <v>0</v>
      </c>
    </row>
    <row r="569" spans="1:9" ht="24" customHeight="1" x14ac:dyDescent="0.25">
      <c r="A569" s="1" t="str">
        <v>2049-07-24</v>
      </c>
      <c r="B569" s="1" t="str">
        <v>Redemption</v>
      </c>
      <c r="C569" s="12">
        <v>1016.3165009819932</v>
      </c>
      <c r="D569" s="11">
        <v>0</v>
      </c>
      <c r="E569" s="13">
        <v>0</v>
      </c>
      <c r="F569" s="1" t="str">
        <v>EUR</v>
      </c>
      <c r="G569" s="11">
        <v>0</v>
      </c>
      <c r="H569" s="11">
        <v>0</v>
      </c>
      <c r="I569" s="1">
        <v>0</v>
      </c>
    </row>
    <row r="570" spans="1:9" ht="24" customHeight="1" x14ac:dyDescent="0.25">
      <c r="A570" s="1" t="str">
        <v>2049-08-24</v>
      </c>
      <c r="B570" s="1" t="str">
        <v>FixedRateCoupon</v>
      </c>
      <c r="C570" s="12">
        <v>507.5885853936897</v>
      </c>
      <c r="D570" s="11">
        <v>0</v>
      </c>
      <c r="E570" s="13">
        <v>8.611111111111111E-2</v>
      </c>
      <c r="F570" s="1" t="str">
        <v>EUR</v>
      </c>
      <c r="G570" s="11">
        <v>0</v>
      </c>
      <c r="H570" s="11">
        <v>0</v>
      </c>
      <c r="I570" s="1">
        <v>0</v>
      </c>
    </row>
    <row r="571" spans="1:9" ht="24" customHeight="1" x14ac:dyDescent="0.25">
      <c r="A571" s="1" t="str">
        <v>2049-08-24</v>
      </c>
      <c r="B571" s="1" t="str">
        <v>Redemption</v>
      </c>
      <c r="C571" s="12">
        <v>1005.0242581516068</v>
      </c>
      <c r="D571" s="11">
        <v>0</v>
      </c>
      <c r="E571" s="13">
        <v>0</v>
      </c>
      <c r="F571" s="1" t="str">
        <v>EUR</v>
      </c>
      <c r="G571" s="11">
        <v>0</v>
      </c>
      <c r="H571" s="11">
        <v>0</v>
      </c>
      <c r="I571" s="1">
        <v>0</v>
      </c>
    </row>
    <row r="572" spans="1:9" ht="24" customHeight="1" x14ac:dyDescent="0.25">
      <c r="A572" s="1" t="str">
        <v>2049-09-24</v>
      </c>
      <c r="B572" s="1" t="str">
        <v>FixedRateCoupon</v>
      </c>
      <c r="C572" s="12">
        <v>502.39596005990643</v>
      </c>
      <c r="D572" s="11">
        <v>0</v>
      </c>
      <c r="E572" s="13">
        <v>8.611111111111111E-2</v>
      </c>
      <c r="F572" s="1" t="str">
        <v>EUR</v>
      </c>
      <c r="G572" s="11">
        <v>0</v>
      </c>
      <c r="H572" s="11">
        <v>0</v>
      </c>
      <c r="I572" s="1">
        <v>0</v>
      </c>
    </row>
    <row r="573" spans="1:9" ht="24" customHeight="1" x14ac:dyDescent="0.25">
      <c r="A573" s="1" t="str">
        <v>2049-09-24</v>
      </c>
      <c r="B573" s="1" t="str">
        <v>Redemption</v>
      </c>
      <c r="C573" s="12">
        <v>1010.2168834853946</v>
      </c>
      <c r="D573" s="11">
        <v>0</v>
      </c>
      <c r="E573" s="13">
        <v>0</v>
      </c>
      <c r="F573" s="1" t="str">
        <v>EUR</v>
      </c>
      <c r="G573" s="11">
        <v>0</v>
      </c>
      <c r="H573" s="11">
        <v>0</v>
      </c>
      <c r="I573" s="1">
        <v>0</v>
      </c>
    </row>
    <row r="574" spans="1:9" ht="24" customHeight="1" x14ac:dyDescent="0.25">
      <c r="A574" s="1" t="str">
        <v>2049-10-24</v>
      </c>
      <c r="B574" s="1" t="str">
        <v>FixedRateCoupon</v>
      </c>
      <c r="C574" s="12">
        <v>481.13855435022441</v>
      </c>
      <c r="D574" s="11">
        <v>0</v>
      </c>
      <c r="E574" s="13">
        <v>8.3333333333333329E-2</v>
      </c>
      <c r="F574" s="1" t="str">
        <v>EUR</v>
      </c>
      <c r="G574" s="11">
        <v>0</v>
      </c>
      <c r="H574" s="11">
        <v>0</v>
      </c>
      <c r="I574" s="1">
        <v>0</v>
      </c>
    </row>
    <row r="575" spans="1:9" ht="24" customHeight="1" x14ac:dyDescent="0.25">
      <c r="A575" s="1" t="str">
        <v>2049-10-24</v>
      </c>
      <c r="B575" s="1" t="str">
        <v>Redemption</v>
      </c>
      <c r="C575" s="12">
        <v>1031.4742891950882</v>
      </c>
      <c r="D575" s="11">
        <v>0</v>
      </c>
      <c r="E575" s="13">
        <v>0</v>
      </c>
      <c r="F575" s="1" t="str">
        <v>EUR</v>
      </c>
      <c r="G575" s="11">
        <v>0</v>
      </c>
      <c r="H575" s="11">
        <v>0</v>
      </c>
      <c r="I575" s="1">
        <v>0</v>
      </c>
    </row>
    <row r="576" spans="1:9" ht="24" customHeight="1" x14ac:dyDescent="0.25">
      <c r="A576" s="1" t="str">
        <v>2049-11-24</v>
      </c>
      <c r="B576" s="1" t="str">
        <v>FixedRateCoupon</v>
      </c>
      <c r="C576" s="12">
        <v>491.84722233439066</v>
      </c>
      <c r="D576" s="11">
        <v>0</v>
      </c>
      <c r="E576" s="13">
        <v>8.611111111111111E-2</v>
      </c>
      <c r="F576" s="1" t="str">
        <v>EUR</v>
      </c>
      <c r="G576" s="11">
        <v>0</v>
      </c>
      <c r="H576" s="11">
        <v>0</v>
      </c>
      <c r="I576" s="1">
        <v>0</v>
      </c>
    </row>
    <row r="577" spans="1:9" ht="24" customHeight="1" x14ac:dyDescent="0.25">
      <c r="A577" s="1" t="str">
        <v>2049-11-24</v>
      </c>
      <c r="B577" s="1" t="str">
        <v>Redemption</v>
      </c>
      <c r="C577" s="12">
        <v>1020.7656212108996</v>
      </c>
      <c r="D577" s="11">
        <v>0</v>
      </c>
      <c r="E577" s="13">
        <v>0</v>
      </c>
      <c r="F577" s="1" t="str">
        <v>EUR</v>
      </c>
      <c r="G577" s="11">
        <v>0</v>
      </c>
      <c r="H577" s="11">
        <v>0</v>
      </c>
      <c r="I577" s="1">
        <v>0</v>
      </c>
    </row>
    <row r="578" spans="1:9" ht="24" customHeight="1" x14ac:dyDescent="0.25">
      <c r="A578" s="1" t="str">
        <v>2049-12-24</v>
      </c>
      <c r="B578" s="1" t="str">
        <v>FixedRateCoupon</v>
      </c>
      <c r="C578" s="12">
        <v>470.87735479819446</v>
      </c>
      <c r="D578" s="11">
        <v>0</v>
      </c>
      <c r="E578" s="13">
        <v>8.3333333333333329E-2</v>
      </c>
      <c r="F578" s="1" t="str">
        <v>EUR</v>
      </c>
      <c r="G578" s="11">
        <v>0</v>
      </c>
      <c r="H578" s="11">
        <v>0</v>
      </c>
      <c r="I578" s="1">
        <v>0</v>
      </c>
    </row>
    <row r="579" spans="1:9" ht="24" customHeight="1" x14ac:dyDescent="0.25">
      <c r="A579" s="1" t="str">
        <v>2049-12-24</v>
      </c>
      <c r="B579" s="1" t="str">
        <v>Redemption</v>
      </c>
      <c r="C579" s="12">
        <v>1041.7354887471156</v>
      </c>
      <c r="D579" s="11">
        <v>0</v>
      </c>
      <c r="E579" s="13">
        <v>0</v>
      </c>
      <c r="F579" s="1" t="str">
        <v>EUR</v>
      </c>
      <c r="G579" s="11">
        <v>0</v>
      </c>
      <c r="H579" s="11">
        <v>0</v>
      </c>
      <c r="I579" s="1">
        <v>0</v>
      </c>
    </row>
    <row r="580" spans="1:9" ht="24" customHeight="1" x14ac:dyDescent="0.25">
      <c r="A580" s="1" t="str">
        <v>2050-01-24</v>
      </c>
      <c r="B580" s="1" t="str">
        <v>FixedRateCoupon</v>
      </c>
      <c r="C580" s="12">
        <v>481.19096659960752</v>
      </c>
      <c r="D580" s="11">
        <v>0</v>
      </c>
      <c r="E580" s="13">
        <v>8.611111111111111E-2</v>
      </c>
      <c r="F580" s="1" t="str">
        <v>EUR</v>
      </c>
      <c r="G580" s="11">
        <v>0</v>
      </c>
      <c r="H580" s="11">
        <v>0</v>
      </c>
      <c r="I580" s="1">
        <v>0</v>
      </c>
    </row>
    <row r="581" spans="1:9" ht="24" customHeight="1" x14ac:dyDescent="0.25">
      <c r="A581" s="1" t="str">
        <v>2050-01-24</v>
      </c>
      <c r="B581" s="1" t="str">
        <v>Redemption</v>
      </c>
      <c r="C581" s="12">
        <v>1031.4218769456929</v>
      </c>
      <c r="D581" s="11">
        <v>0</v>
      </c>
      <c r="E581" s="13">
        <v>0</v>
      </c>
      <c r="F581" s="1" t="str">
        <v>EUR</v>
      </c>
      <c r="G581" s="11">
        <v>0</v>
      </c>
      <c r="H581" s="11">
        <v>0</v>
      </c>
      <c r="I581" s="1">
        <v>0</v>
      </c>
    </row>
    <row r="582" spans="1:9" ht="24" customHeight="1" x14ac:dyDescent="0.25">
      <c r="A582" s="1" t="str">
        <v>2050-02-24</v>
      </c>
      <c r="B582" s="1" t="str">
        <v>FixedRateCoupon</v>
      </c>
      <c r="C582" s="12">
        <v>475.86195356872145</v>
      </c>
      <c r="D582" s="11">
        <v>0</v>
      </c>
      <c r="E582" s="13">
        <v>8.611111111111111E-2</v>
      </c>
      <c r="F582" s="1" t="str">
        <v>EUR</v>
      </c>
      <c r="G582" s="11">
        <v>0</v>
      </c>
      <c r="H582" s="11">
        <v>0</v>
      </c>
      <c r="I582" s="1">
        <v>0</v>
      </c>
    </row>
    <row r="583" spans="1:9" ht="24" customHeight="1" x14ac:dyDescent="0.25">
      <c r="A583" s="1" t="str">
        <v>2050-02-24</v>
      </c>
      <c r="B583" s="1" t="str">
        <v>Redemption</v>
      </c>
      <c r="C583" s="12">
        <v>1036.7508899765817</v>
      </c>
      <c r="D583" s="11">
        <v>0</v>
      </c>
      <c r="E583" s="13">
        <v>0</v>
      </c>
      <c r="F583" s="1" t="str">
        <v>EUR</v>
      </c>
      <c r="G583" s="11">
        <v>0</v>
      </c>
      <c r="H583" s="11">
        <v>0</v>
      </c>
      <c r="I583" s="1">
        <v>0</v>
      </c>
    </row>
    <row r="584" spans="1:9" ht="24" customHeight="1" x14ac:dyDescent="0.25">
      <c r="A584" s="1" t="str">
        <v>2050-03-24</v>
      </c>
      <c r="B584" s="1" t="str">
        <v>FixedRateCoupon</v>
      </c>
      <c r="C584" s="12">
        <v>424.97262595185771</v>
      </c>
      <c r="D584" s="11">
        <v>0</v>
      </c>
      <c r="E584" s="13">
        <v>7.7777777777777779E-2</v>
      </c>
      <c r="F584" s="1" t="str">
        <v>EUR</v>
      </c>
      <c r="G584" s="11">
        <v>0</v>
      </c>
      <c r="H584" s="11">
        <v>0</v>
      </c>
      <c r="I584" s="1">
        <v>0</v>
      </c>
    </row>
    <row r="585" spans="1:9" ht="24" customHeight="1" x14ac:dyDescent="0.25">
      <c r="A585" s="1" t="str">
        <v>2050-03-24</v>
      </c>
      <c r="B585" s="1" t="str">
        <v>Redemption</v>
      </c>
      <c r="C585" s="12">
        <v>1087.6402175934491</v>
      </c>
      <c r="D585" s="11">
        <v>0</v>
      </c>
      <c r="E585" s="13">
        <v>0</v>
      </c>
      <c r="F585" s="1" t="str">
        <v>EUR</v>
      </c>
      <c r="G585" s="11">
        <v>0</v>
      </c>
      <c r="H585" s="11">
        <v>0</v>
      </c>
      <c r="I585" s="1">
        <v>0</v>
      </c>
    </row>
    <row r="586" spans="1:9" ht="24" customHeight="1" x14ac:dyDescent="0.25">
      <c r="A586" s="1" t="str">
        <v>2050-04-24</v>
      </c>
      <c r="B586" s="1" t="str">
        <v>FixedRateCoupon</v>
      </c>
      <c r="C586" s="12">
        <v>464.88593284627632</v>
      </c>
      <c r="D586" s="11">
        <v>0</v>
      </c>
      <c r="E586" s="13">
        <v>8.611111111111111E-2</v>
      </c>
      <c r="F586" s="1" t="str">
        <v>EUR</v>
      </c>
      <c r="G586" s="11">
        <v>0</v>
      </c>
      <c r="H586" s="11">
        <v>0</v>
      </c>
      <c r="I586" s="1">
        <v>0</v>
      </c>
    </row>
    <row r="587" spans="1:9" ht="24" customHeight="1" x14ac:dyDescent="0.25">
      <c r="A587" s="1" t="str">
        <v>2050-04-24</v>
      </c>
      <c r="B587" s="1" t="str">
        <v>Redemption</v>
      </c>
      <c r="C587" s="12">
        <v>1047.7269106990279</v>
      </c>
      <c r="D587" s="11">
        <v>0</v>
      </c>
      <c r="E587" s="13">
        <v>0</v>
      </c>
      <c r="F587" s="1" t="str">
        <v>EUR</v>
      </c>
      <c r="G587" s="11">
        <v>0</v>
      </c>
      <c r="H587" s="11">
        <v>0</v>
      </c>
      <c r="I587" s="1">
        <v>0</v>
      </c>
    </row>
    <row r="588" spans="1:9" ht="24" customHeight="1" x14ac:dyDescent="0.25">
      <c r="A588" s="1" t="str">
        <v>2050-05-24</v>
      </c>
      <c r="B588" s="1" t="str">
        <v>FixedRateCoupon</v>
      </c>
      <c r="C588" s="12">
        <v>444.65097787838511</v>
      </c>
      <c r="D588" s="11">
        <v>0</v>
      </c>
      <c r="E588" s="13">
        <v>8.3333333333333329E-2</v>
      </c>
      <c r="F588" s="1" t="str">
        <v>EUR</v>
      </c>
      <c r="G588" s="11">
        <v>0</v>
      </c>
      <c r="H588" s="11">
        <v>0</v>
      </c>
      <c r="I588" s="1">
        <v>0</v>
      </c>
    </row>
    <row r="589" spans="1:9" ht="24" customHeight="1" x14ac:dyDescent="0.25">
      <c r="A589" s="1" t="str">
        <v>2050-05-24</v>
      </c>
      <c r="B589" s="1" t="str">
        <v>Redemption</v>
      </c>
      <c r="C589" s="12">
        <v>1067.9618656669336</v>
      </c>
      <c r="D589" s="11">
        <v>0</v>
      </c>
      <c r="E589" s="13">
        <v>0</v>
      </c>
      <c r="F589" s="1" t="str">
        <v>EUR</v>
      </c>
      <c r="G589" s="11">
        <v>0</v>
      </c>
      <c r="H589" s="11">
        <v>0</v>
      </c>
      <c r="I589" s="1">
        <v>0</v>
      </c>
    </row>
    <row r="590" spans="1:9" ht="24" customHeight="1" x14ac:dyDescent="0.25">
      <c r="A590" s="1" t="str">
        <v>2050-06-24</v>
      </c>
      <c r="B590" s="1" t="str">
        <v>FixedRateCoupon</v>
      </c>
      <c r="C590" s="12">
        <v>453.95487416838546</v>
      </c>
      <c r="D590" s="11">
        <v>0</v>
      </c>
      <c r="E590" s="13">
        <v>8.611111111111111E-2</v>
      </c>
      <c r="F590" s="1" t="str">
        <v>EUR</v>
      </c>
      <c r="G590" s="11">
        <v>0</v>
      </c>
      <c r="H590" s="11">
        <v>0</v>
      </c>
      <c r="I590" s="1">
        <v>0</v>
      </c>
    </row>
    <row r="591" spans="1:9" ht="24" customHeight="1" x14ac:dyDescent="0.25">
      <c r="A591" s="1" t="str">
        <v>2050-06-24</v>
      </c>
      <c r="B591" s="1" t="str">
        <v>Redemption</v>
      </c>
      <c r="C591" s="12">
        <v>1058.6579693769163</v>
      </c>
      <c r="D591" s="11">
        <v>0</v>
      </c>
      <c r="E591" s="13">
        <v>0</v>
      </c>
      <c r="F591" s="1" t="str">
        <v>EUR</v>
      </c>
      <c r="G591" s="11">
        <v>0</v>
      </c>
      <c r="H591" s="11">
        <v>0</v>
      </c>
      <c r="I591" s="1">
        <v>0</v>
      </c>
    </row>
    <row r="592" spans="1:9" ht="24" customHeight="1" x14ac:dyDescent="0.25">
      <c r="A592" s="1" t="str">
        <v>2050-07-24</v>
      </c>
      <c r="B592" s="1" t="str">
        <v>FixedRateCoupon</v>
      </c>
      <c r="C592" s="12">
        <v>434.01787870316588</v>
      </c>
      <c r="D592" s="11">
        <v>0</v>
      </c>
      <c r="E592" s="13">
        <v>8.3333333333333329E-2</v>
      </c>
      <c r="F592" s="1" t="str">
        <v>EUR</v>
      </c>
      <c r="G592" s="11">
        <v>0</v>
      </c>
      <c r="H592" s="11">
        <v>0</v>
      </c>
      <c r="I592" s="1">
        <v>0</v>
      </c>
    </row>
    <row r="593" spans="1:9" ht="24" customHeight="1" x14ac:dyDescent="0.25">
      <c r="A593" s="1" t="str">
        <v>2050-07-24</v>
      </c>
      <c r="B593" s="1" t="str">
        <v>Redemption</v>
      </c>
      <c r="C593" s="12">
        <v>1078.594964842152</v>
      </c>
      <c r="D593" s="11">
        <v>0</v>
      </c>
      <c r="E593" s="13">
        <v>0</v>
      </c>
      <c r="F593" s="1" t="str">
        <v>EUR</v>
      </c>
      <c r="G593" s="11">
        <v>0</v>
      </c>
      <c r="H593" s="11">
        <v>0</v>
      </c>
      <c r="I593" s="1">
        <v>0</v>
      </c>
    </row>
    <row r="594" spans="1:9" ht="24" customHeight="1" x14ac:dyDescent="0.25">
      <c r="A594" s="1" t="str">
        <v>2050-08-24</v>
      </c>
      <c r="B594" s="1" t="str">
        <v>FixedRateCoupon</v>
      </c>
      <c r="C594" s="12">
        <v>442.91240067492032</v>
      </c>
      <c r="D594" s="11">
        <v>0</v>
      </c>
      <c r="E594" s="13">
        <v>8.611111111111111E-2</v>
      </c>
      <c r="F594" s="1" t="str">
        <v>EUR</v>
      </c>
      <c r="G594" s="11">
        <v>0</v>
      </c>
      <c r="H594" s="11">
        <v>0</v>
      </c>
      <c r="I594" s="1">
        <v>0</v>
      </c>
    </row>
    <row r="595" spans="1:9" ht="24" customHeight="1" x14ac:dyDescent="0.25">
      <c r="A595" s="1" t="str">
        <v>2050-08-24</v>
      </c>
      <c r="B595" s="1" t="str">
        <v>Redemption</v>
      </c>
      <c r="C595" s="12">
        <v>1069.7004428703804</v>
      </c>
      <c r="D595" s="11">
        <v>0</v>
      </c>
      <c r="E595" s="13">
        <v>0</v>
      </c>
      <c r="F595" s="1" t="str">
        <v>EUR</v>
      </c>
      <c r="G595" s="11">
        <v>0</v>
      </c>
      <c r="H595" s="11">
        <v>0</v>
      </c>
      <c r="I595" s="1">
        <v>0</v>
      </c>
    </row>
    <row r="596" spans="1:9" ht="24" customHeight="1" x14ac:dyDescent="0.25">
      <c r="A596" s="1" t="str">
        <v>2050-09-24</v>
      </c>
      <c r="B596" s="1" t="str">
        <v>FixedRateCoupon</v>
      </c>
      <c r="C596" s="12">
        <v>437.38561505342335</v>
      </c>
      <c r="D596" s="11">
        <v>0</v>
      </c>
      <c r="E596" s="13">
        <v>8.611111111111111E-2</v>
      </c>
      <c r="F596" s="1" t="str">
        <v>EUR</v>
      </c>
      <c r="G596" s="11">
        <v>0</v>
      </c>
      <c r="H596" s="11">
        <v>0</v>
      </c>
      <c r="I596" s="1">
        <v>0</v>
      </c>
    </row>
    <row r="597" spans="1:9" ht="24" customHeight="1" x14ac:dyDescent="0.25">
      <c r="A597" s="1" t="str">
        <v>2050-09-24</v>
      </c>
      <c r="B597" s="1" t="str">
        <v>Redemption</v>
      </c>
      <c r="C597" s="12">
        <v>1075.2272284918727</v>
      </c>
      <c r="D597" s="11">
        <v>0</v>
      </c>
      <c r="E597" s="13">
        <v>0</v>
      </c>
      <c r="F597" s="1" t="str">
        <v>EUR</v>
      </c>
      <c r="G597" s="11">
        <v>0</v>
      </c>
      <c r="H597" s="11">
        <v>0</v>
      </c>
      <c r="I597" s="1">
        <v>0</v>
      </c>
    </row>
    <row r="598" spans="1:9" ht="24" customHeight="1" x14ac:dyDescent="0.25">
      <c r="A598" s="1" t="str">
        <v>2050-10-24</v>
      </c>
      <c r="B598" s="1" t="str">
        <v>FixedRateCoupon</v>
      </c>
      <c r="C598" s="12">
        <v>417.90026552214385</v>
      </c>
      <c r="D598" s="11">
        <v>0</v>
      </c>
      <c r="E598" s="13">
        <v>8.3333333333333329E-2</v>
      </c>
      <c r="F598" s="1" t="str">
        <v>EUR</v>
      </c>
      <c r="G598" s="11">
        <v>0</v>
      </c>
      <c r="H598" s="11">
        <v>0</v>
      </c>
      <c r="I598" s="1">
        <v>0</v>
      </c>
    </row>
    <row r="599" spans="1:9" ht="24" customHeight="1" x14ac:dyDescent="0.25">
      <c r="A599" s="1" t="str">
        <v>2050-10-24</v>
      </c>
      <c r="B599" s="1" t="str">
        <v>Redemption</v>
      </c>
      <c r="C599" s="12">
        <v>1094.7125780231727</v>
      </c>
      <c r="D599" s="11">
        <v>0</v>
      </c>
      <c r="E599" s="13">
        <v>0</v>
      </c>
      <c r="F599" s="1" t="str">
        <v>EUR</v>
      </c>
      <c r="G599" s="11">
        <v>0</v>
      </c>
      <c r="H599" s="11">
        <v>0</v>
      </c>
      <c r="I599" s="1">
        <v>0</v>
      </c>
    </row>
    <row r="600" spans="1:9" ht="24" customHeight="1" x14ac:dyDescent="0.25">
      <c r="A600" s="1" t="str">
        <v>2050-11-24</v>
      </c>
      <c r="B600" s="1" t="str">
        <v>FixedRateCoupon</v>
      </c>
      <c r="C600" s="12">
        <v>426.17425938642896</v>
      </c>
      <c r="D600" s="11">
        <v>0</v>
      </c>
      <c r="E600" s="13">
        <v>8.611111111111111E-2</v>
      </c>
      <c r="F600" s="1" t="str">
        <v>EUR</v>
      </c>
      <c r="G600" s="11">
        <v>0</v>
      </c>
      <c r="H600" s="11">
        <v>0</v>
      </c>
      <c r="I600" s="1">
        <v>0</v>
      </c>
    </row>
    <row r="601" spans="1:9" ht="24" customHeight="1" x14ac:dyDescent="0.25">
      <c r="A601" s="1" t="str">
        <v>2050-11-24</v>
      </c>
      <c r="B601" s="1" t="str">
        <v>Redemption</v>
      </c>
      <c r="C601" s="12">
        <v>1086.4385841588664</v>
      </c>
      <c r="D601" s="11">
        <v>0</v>
      </c>
      <c r="E601" s="13">
        <v>0</v>
      </c>
      <c r="F601" s="1" t="str">
        <v>EUR</v>
      </c>
      <c r="G601" s="11">
        <v>0</v>
      </c>
      <c r="H601" s="11">
        <v>0</v>
      </c>
      <c r="I601" s="1">
        <v>0</v>
      </c>
    </row>
    <row r="602" spans="1:9" ht="24" customHeight="1" x14ac:dyDescent="0.25">
      <c r="A602" s="1" t="str">
        <v>2050-12-24</v>
      </c>
      <c r="B602" s="1" t="str">
        <v>FixedRateCoupon</v>
      </c>
      <c r="C602" s="12">
        <v>406.99450971123366</v>
      </c>
      <c r="D602" s="11">
        <v>0</v>
      </c>
      <c r="E602" s="13">
        <v>8.3333333333333329E-2</v>
      </c>
      <c r="F602" s="1" t="str">
        <v>EUR</v>
      </c>
      <c r="G602" s="11">
        <v>0</v>
      </c>
      <c r="H602" s="11">
        <v>0</v>
      </c>
      <c r="I602" s="1">
        <v>0</v>
      </c>
    </row>
    <row r="603" spans="1:9" ht="24" customHeight="1" x14ac:dyDescent="0.25">
      <c r="A603" s="1" t="str">
        <v>2050-12-24</v>
      </c>
      <c r="B603" s="1" t="str">
        <v>Redemption</v>
      </c>
      <c r="C603" s="12">
        <v>1105.6183338340779</v>
      </c>
      <c r="D603" s="11">
        <v>0</v>
      </c>
      <c r="E603" s="13">
        <v>0</v>
      </c>
      <c r="F603" s="1" t="str">
        <v>EUR</v>
      </c>
      <c r="G603" s="11">
        <v>0</v>
      </c>
      <c r="H603" s="11">
        <v>0</v>
      </c>
      <c r="I603" s="1">
        <v>0</v>
      </c>
    </row>
    <row r="604" spans="1:9" ht="24" customHeight="1" x14ac:dyDescent="0.25">
      <c r="A604" s="1" t="str">
        <v>2051-01-24</v>
      </c>
      <c r="B604" s="1" t="str">
        <v>FixedRateCoupon</v>
      </c>
      <c r="C604" s="12">
        <v>414.84863197679874</v>
      </c>
      <c r="D604" s="11">
        <v>0</v>
      </c>
      <c r="E604" s="13">
        <v>8.611111111111111E-2</v>
      </c>
      <c r="F604" s="1" t="str">
        <v>EUR</v>
      </c>
      <c r="G604" s="11">
        <v>0</v>
      </c>
      <c r="H604" s="11">
        <v>0</v>
      </c>
      <c r="I604" s="1">
        <v>0</v>
      </c>
    </row>
    <row r="605" spans="1:9" ht="24" customHeight="1" x14ac:dyDescent="0.25">
      <c r="A605" s="1" t="str">
        <v>2051-01-24</v>
      </c>
      <c r="B605" s="1" t="str">
        <v>Redemption</v>
      </c>
      <c r="C605" s="12">
        <v>1097.7642115685012</v>
      </c>
      <c r="D605" s="11">
        <v>0</v>
      </c>
      <c r="E605" s="13">
        <v>0</v>
      </c>
      <c r="F605" s="1" t="str">
        <v>EUR</v>
      </c>
      <c r="G605" s="11">
        <v>0</v>
      </c>
      <c r="H605" s="11">
        <v>0</v>
      </c>
      <c r="I605" s="1">
        <v>0</v>
      </c>
    </row>
    <row r="606" spans="1:9" ht="24" customHeight="1" x14ac:dyDescent="0.25">
      <c r="A606" s="1" t="str">
        <v>2051-02-24</v>
      </c>
      <c r="B606" s="1" t="str">
        <v>FixedRateCoupon</v>
      </c>
      <c r="C606" s="12">
        <v>409.17685021702812</v>
      </c>
      <c r="D606" s="11">
        <v>0</v>
      </c>
      <c r="E606" s="13">
        <v>8.611111111111111E-2</v>
      </c>
      <c r="F606" s="1" t="str">
        <v>EUR</v>
      </c>
      <c r="G606" s="11">
        <v>0</v>
      </c>
      <c r="H606" s="11">
        <v>0</v>
      </c>
      <c r="I606" s="1">
        <v>0</v>
      </c>
    </row>
    <row r="607" spans="1:9" ht="24" customHeight="1" x14ac:dyDescent="0.25">
      <c r="A607" s="1" t="str">
        <v>2051-02-24</v>
      </c>
      <c r="B607" s="1" t="str">
        <v>Redemption</v>
      </c>
      <c r="C607" s="12">
        <v>1103.4359933282685</v>
      </c>
      <c r="D607" s="11">
        <v>0</v>
      </c>
      <c r="E607" s="13">
        <v>0</v>
      </c>
      <c r="F607" s="1" t="str">
        <v>EUR</v>
      </c>
      <c r="G607" s="11">
        <v>0</v>
      </c>
      <c r="H607" s="11">
        <v>0</v>
      </c>
      <c r="I607" s="1">
        <v>0</v>
      </c>
    </row>
    <row r="608" spans="1:9" ht="24" customHeight="1" x14ac:dyDescent="0.25">
      <c r="A608" s="1" t="str">
        <v>2051-03-24</v>
      </c>
      <c r="B608" s="1" t="str">
        <v>FixedRateCoupon</v>
      </c>
      <c r="C608" s="12">
        <v>364.4297225497408</v>
      </c>
      <c r="D608" s="11">
        <v>0</v>
      </c>
      <c r="E608" s="13">
        <v>7.7777777777777779E-2</v>
      </c>
      <c r="F608" s="1" t="str">
        <v>EUR</v>
      </c>
      <c r="G608" s="11">
        <v>0</v>
      </c>
      <c r="H608" s="11">
        <v>0</v>
      </c>
      <c r="I608" s="1">
        <v>0</v>
      </c>
    </row>
    <row r="609" spans="1:9" ht="24" customHeight="1" x14ac:dyDescent="0.25">
      <c r="A609" s="1" t="str">
        <v>2051-03-24</v>
      </c>
      <c r="B609" s="1" t="str">
        <v>Redemption</v>
      </c>
      <c r="C609" s="12">
        <v>1148.1831209955708</v>
      </c>
      <c r="D609" s="11">
        <v>0</v>
      </c>
      <c r="E609" s="13">
        <v>0</v>
      </c>
      <c r="F609" s="1" t="str">
        <v>EUR</v>
      </c>
      <c r="G609" s="11">
        <v>0</v>
      </c>
      <c r="H609" s="11">
        <v>0</v>
      </c>
      <c r="I609" s="1">
        <v>0</v>
      </c>
    </row>
    <row r="610" spans="1:9" ht="24" customHeight="1" x14ac:dyDescent="0.25">
      <c r="A610" s="1" t="str">
        <v>2051-04-24</v>
      </c>
      <c r="B610" s="1" t="str">
        <v>FixedRateCoupon</v>
      </c>
      <c r="C610" s="12">
        <v>397.54348479302161</v>
      </c>
      <c r="D610" s="11">
        <v>0</v>
      </c>
      <c r="E610" s="13">
        <v>8.611111111111111E-2</v>
      </c>
      <c r="F610" s="1" t="str">
        <v>EUR</v>
      </c>
      <c r="G610" s="11">
        <v>0</v>
      </c>
      <c r="H610" s="11">
        <v>0</v>
      </c>
      <c r="I610" s="1">
        <v>0</v>
      </c>
    </row>
    <row r="611" spans="1:9" ht="24" customHeight="1" x14ac:dyDescent="0.25">
      <c r="A611" s="1" t="str">
        <v>2051-04-24</v>
      </c>
      <c r="B611" s="1" t="str">
        <v>Redemption</v>
      </c>
      <c r="C611" s="12">
        <v>1115.0693587522837</v>
      </c>
      <c r="D611" s="11">
        <v>0</v>
      </c>
      <c r="E611" s="13">
        <v>0</v>
      </c>
      <c r="F611" s="1" t="str">
        <v>EUR</v>
      </c>
      <c r="G611" s="11">
        <v>0</v>
      </c>
      <c r="H611" s="11">
        <v>0</v>
      </c>
      <c r="I611" s="1">
        <v>0</v>
      </c>
    </row>
    <row r="612" spans="1:9" ht="24" customHeight="1" x14ac:dyDescent="0.25">
      <c r="A612" s="1" t="str">
        <v>2051-05-24</v>
      </c>
      <c r="B612" s="1" t="str">
        <v>FixedRateCoupon</v>
      </c>
      <c r="C612" s="12">
        <v>379.14415461884016</v>
      </c>
      <c r="D612" s="11">
        <v>0</v>
      </c>
      <c r="E612" s="13">
        <v>8.3333333333333329E-2</v>
      </c>
      <c r="F612" s="1" t="str">
        <v>EUR</v>
      </c>
      <c r="G612" s="11">
        <v>0</v>
      </c>
      <c r="H612" s="11">
        <v>0</v>
      </c>
      <c r="I612" s="1">
        <v>0</v>
      </c>
    </row>
    <row r="613" spans="1:9" ht="24" customHeight="1" x14ac:dyDescent="0.25">
      <c r="A613" s="1" t="str">
        <v>2051-05-24</v>
      </c>
      <c r="B613" s="1" t="str">
        <v>Redemption</v>
      </c>
      <c r="C613" s="12">
        <v>1133.4686889264703</v>
      </c>
      <c r="D613" s="11">
        <v>0</v>
      </c>
      <c r="E613" s="13">
        <v>0</v>
      </c>
      <c r="F613" s="1" t="str">
        <v>EUR</v>
      </c>
      <c r="G613" s="11">
        <v>0</v>
      </c>
      <c r="H613" s="11">
        <v>0</v>
      </c>
      <c r="I613" s="1">
        <v>0</v>
      </c>
    </row>
    <row r="614" spans="1:9" ht="24" customHeight="1" x14ac:dyDescent="0.25">
      <c r="A614" s="1" t="str">
        <v>2051-06-24</v>
      </c>
      <c r="B614" s="1" t="str">
        <v>FixedRateCoupon</v>
      </c>
      <c r="C614" s="12">
        <v>385.92603821334808</v>
      </c>
      <c r="D614" s="11">
        <v>0</v>
      </c>
      <c r="E614" s="13">
        <v>8.611111111111111E-2</v>
      </c>
      <c r="F614" s="1" t="str">
        <v>EUR</v>
      </c>
      <c r="G614" s="11">
        <v>0</v>
      </c>
      <c r="H614" s="11">
        <v>0</v>
      </c>
      <c r="I614" s="1">
        <v>0</v>
      </c>
    </row>
    <row r="615" spans="1:9" ht="24" customHeight="1" x14ac:dyDescent="0.25">
      <c r="A615" s="1" t="str">
        <v>2051-06-24</v>
      </c>
      <c r="B615" s="1" t="str">
        <v>Redemption</v>
      </c>
      <c r="C615" s="12">
        <v>1126.6868053319486</v>
      </c>
      <c r="D615" s="11">
        <v>0</v>
      </c>
      <c r="E615" s="13">
        <v>0</v>
      </c>
      <c r="F615" s="1" t="str">
        <v>EUR</v>
      </c>
      <c r="G615" s="11">
        <v>0</v>
      </c>
      <c r="H615" s="11">
        <v>0</v>
      </c>
      <c r="I615" s="1">
        <v>0</v>
      </c>
    </row>
    <row r="616" spans="1:9" ht="24" customHeight="1" x14ac:dyDescent="0.25">
      <c r="A616" s="1" t="str">
        <v>2051-07-24</v>
      </c>
      <c r="B616" s="1" t="str">
        <v>FixedRateCoupon</v>
      </c>
      <c r="C616" s="12">
        <v>367.8433771475481</v>
      </c>
      <c r="D616" s="11">
        <v>0</v>
      </c>
      <c r="E616" s="13">
        <v>8.3333333333333329E-2</v>
      </c>
      <c r="F616" s="1" t="str">
        <v>EUR</v>
      </c>
      <c r="G616" s="11">
        <v>0</v>
      </c>
      <c r="H616" s="11">
        <v>0</v>
      </c>
      <c r="I616" s="1">
        <v>0</v>
      </c>
    </row>
    <row r="617" spans="1:9" ht="24" customHeight="1" x14ac:dyDescent="0.25">
      <c r="A617" s="1" t="str">
        <v>2051-07-24</v>
      </c>
      <c r="B617" s="1" t="str">
        <v>Redemption</v>
      </c>
      <c r="C617" s="12">
        <v>1144.76946639776</v>
      </c>
      <c r="D617" s="11">
        <v>0</v>
      </c>
      <c r="E617" s="13">
        <v>0</v>
      </c>
      <c r="F617" s="1" t="str">
        <v>EUR</v>
      </c>
      <c r="G617" s="11">
        <v>0</v>
      </c>
      <c r="H617" s="11">
        <v>0</v>
      </c>
      <c r="I617" s="1">
        <v>0</v>
      </c>
    </row>
    <row r="618" spans="1:9" ht="24" customHeight="1" x14ac:dyDescent="0.25">
      <c r="A618" s="1" t="str">
        <v>2051-08-24</v>
      </c>
      <c r="B618" s="1" t="str">
        <v>FixedRateCoupon</v>
      </c>
      <c r="C618" s="12">
        <v>374.19018080941129</v>
      </c>
      <c r="D618" s="11">
        <v>0</v>
      </c>
      <c r="E618" s="13">
        <v>8.611111111111111E-2</v>
      </c>
      <c r="F618" s="1" t="str">
        <v>EUR</v>
      </c>
      <c r="G618" s="11">
        <v>0</v>
      </c>
      <c r="H618" s="11">
        <v>0</v>
      </c>
      <c r="I618" s="1">
        <v>0</v>
      </c>
    </row>
    <row r="619" spans="1:9" ht="24" customHeight="1" x14ac:dyDescent="0.25">
      <c r="A619" s="1" t="str">
        <v>2051-08-24</v>
      </c>
      <c r="B619" s="1" t="str">
        <v>Redemption</v>
      </c>
      <c r="C619" s="12">
        <v>1138.4226627358876</v>
      </c>
      <c r="D619" s="11">
        <v>0</v>
      </c>
      <c r="E619" s="13">
        <v>0</v>
      </c>
      <c r="F619" s="1" t="str">
        <v>EUR</v>
      </c>
      <c r="G619" s="11">
        <v>0</v>
      </c>
      <c r="H619" s="11">
        <v>0</v>
      </c>
      <c r="I619" s="1">
        <v>0</v>
      </c>
    </row>
    <row r="620" spans="1:9" ht="24" customHeight="1" x14ac:dyDescent="0.25">
      <c r="A620" s="1" t="str">
        <v>2051-09-24</v>
      </c>
      <c r="B620" s="1" t="str">
        <v>FixedRateCoupon</v>
      </c>
      <c r="C620" s="12">
        <v>368.30833038527584</v>
      </c>
      <c r="D620" s="11">
        <v>0</v>
      </c>
      <c r="E620" s="13">
        <v>8.611111111111111E-2</v>
      </c>
      <c r="F620" s="1" t="str">
        <v>EUR</v>
      </c>
      <c r="G620" s="11">
        <v>0</v>
      </c>
      <c r="H620" s="11">
        <v>0</v>
      </c>
      <c r="I620" s="1">
        <v>0</v>
      </c>
    </row>
    <row r="621" spans="1:9" ht="24" customHeight="1" x14ac:dyDescent="0.25">
      <c r="A621" s="1" t="str">
        <v>2051-09-24</v>
      </c>
      <c r="B621" s="1" t="str">
        <v>Redemption</v>
      </c>
      <c r="C621" s="12">
        <v>1144.3045131600229</v>
      </c>
      <c r="D621" s="11">
        <v>0</v>
      </c>
      <c r="E621" s="13">
        <v>0</v>
      </c>
      <c r="F621" s="1" t="str">
        <v>EUR</v>
      </c>
      <c r="G621" s="11">
        <v>0</v>
      </c>
      <c r="H621" s="11">
        <v>0</v>
      </c>
      <c r="I621" s="1">
        <v>0</v>
      </c>
    </row>
    <row r="622" spans="1:9" ht="24" customHeight="1" x14ac:dyDescent="0.25">
      <c r="A622" s="1" t="str">
        <v>2051-10-24</v>
      </c>
      <c r="B622" s="1" t="str">
        <v>FixedRateCoupon</v>
      </c>
      <c r="C622" s="12">
        <v>350.70589393607975</v>
      </c>
      <c r="D622" s="11">
        <v>0</v>
      </c>
      <c r="E622" s="13">
        <v>8.3333333333333329E-2</v>
      </c>
      <c r="F622" s="1" t="str">
        <v>EUR</v>
      </c>
      <c r="G622" s="11">
        <v>0</v>
      </c>
      <c r="H622" s="11">
        <v>0</v>
      </c>
      <c r="I622" s="1">
        <v>0</v>
      </c>
    </row>
    <row r="623" spans="1:9" ht="24" customHeight="1" x14ac:dyDescent="0.25">
      <c r="A623" s="1" t="str">
        <v>2051-10-24</v>
      </c>
      <c r="B623" s="1" t="str">
        <v>Redemption</v>
      </c>
      <c r="C623" s="12">
        <v>1161.906949609227</v>
      </c>
      <c r="D623" s="11">
        <v>0</v>
      </c>
      <c r="E623" s="13">
        <v>0</v>
      </c>
      <c r="F623" s="1" t="str">
        <v>EUR</v>
      </c>
      <c r="G623" s="11">
        <v>0</v>
      </c>
      <c r="H623" s="11">
        <v>0</v>
      </c>
      <c r="I623" s="1">
        <v>0</v>
      </c>
    </row>
    <row r="624" spans="1:9" ht="24" customHeight="1" x14ac:dyDescent="0.25">
      <c r="A624" s="1" t="str">
        <v>2051-11-24</v>
      </c>
      <c r="B624" s="1" t="str">
        <v>FixedRateCoupon</v>
      </c>
      <c r="C624" s="12">
        <v>356.39290449430138</v>
      </c>
      <c r="D624" s="11">
        <v>0</v>
      </c>
      <c r="E624" s="13">
        <v>8.611111111111111E-2</v>
      </c>
      <c r="F624" s="1" t="str">
        <v>EUR</v>
      </c>
      <c r="G624" s="11">
        <v>0</v>
      </c>
      <c r="H624" s="11">
        <v>0</v>
      </c>
      <c r="I624" s="1">
        <v>0</v>
      </c>
    </row>
    <row r="625" spans="1:9" ht="24" customHeight="1" x14ac:dyDescent="0.25">
      <c r="A625" s="1" t="str">
        <v>2051-11-24</v>
      </c>
      <c r="B625" s="1" t="str">
        <v>Redemption</v>
      </c>
      <c r="C625" s="12">
        <v>1156.2199390509923</v>
      </c>
      <c r="D625" s="11">
        <v>0</v>
      </c>
      <c r="E625" s="13">
        <v>0</v>
      </c>
      <c r="F625" s="1" t="str">
        <v>EUR</v>
      </c>
      <c r="G625" s="11">
        <v>0</v>
      </c>
      <c r="H625" s="11">
        <v>0</v>
      </c>
      <c r="I625" s="1">
        <v>0</v>
      </c>
    </row>
    <row r="626" spans="1:9" ht="24" customHeight="1" x14ac:dyDescent="0.25">
      <c r="A626" s="1" t="str">
        <v>2051-12-24</v>
      </c>
      <c r="B626" s="1" t="str">
        <v>FixedRateCoupon</v>
      </c>
      <c r="C626" s="12">
        <v>339.11525949277865</v>
      </c>
      <c r="D626" s="11">
        <v>0</v>
      </c>
      <c r="E626" s="13">
        <v>8.3333333333333329E-2</v>
      </c>
      <c r="F626" s="1" t="str">
        <v>EUR</v>
      </c>
      <c r="G626" s="11">
        <v>0</v>
      </c>
      <c r="H626" s="11">
        <v>0</v>
      </c>
      <c r="I626" s="1">
        <v>0</v>
      </c>
    </row>
    <row r="627" spans="1:9" ht="24" customHeight="1" x14ac:dyDescent="0.25">
      <c r="A627" s="1" t="str">
        <v>2051-12-24</v>
      </c>
      <c r="B627" s="1" t="str">
        <v>Redemption</v>
      </c>
      <c r="C627" s="12">
        <v>1173.4975840525294</v>
      </c>
      <c r="D627" s="11">
        <v>0</v>
      </c>
      <c r="E627" s="13">
        <v>0</v>
      </c>
      <c r="F627" s="1" t="str">
        <v>EUR</v>
      </c>
      <c r="G627" s="11">
        <v>0</v>
      </c>
      <c r="H627" s="11">
        <v>0</v>
      </c>
      <c r="I627" s="1">
        <v>0</v>
      </c>
    </row>
    <row r="628" spans="1:9" ht="24" customHeight="1" x14ac:dyDescent="0.25">
      <c r="A628" s="1" t="str">
        <v>2052-01-24</v>
      </c>
      <c r="B628" s="1" t="str">
        <v>FixedRateCoupon</v>
      </c>
      <c r="C628" s="12">
        <v>344.35603062493317</v>
      </c>
      <c r="D628" s="11">
        <v>0</v>
      </c>
      <c r="E628" s="13">
        <v>8.611111111111111E-2</v>
      </c>
      <c r="F628" s="1" t="str">
        <v>EUR</v>
      </c>
      <c r="G628" s="11">
        <v>0</v>
      </c>
      <c r="H628" s="11">
        <v>0</v>
      </c>
      <c r="I628" s="1">
        <v>0</v>
      </c>
    </row>
    <row r="629" spans="1:9" ht="24" customHeight="1" x14ac:dyDescent="0.25">
      <c r="A629" s="1" t="str">
        <v>2052-01-24</v>
      </c>
      <c r="B629" s="1" t="str">
        <v>Redemption</v>
      </c>
      <c r="C629" s="12">
        <v>1168.2568129203646</v>
      </c>
      <c r="D629" s="11">
        <v>0</v>
      </c>
      <c r="E629" s="13">
        <v>0</v>
      </c>
      <c r="F629" s="1" t="str">
        <v>EUR</v>
      </c>
      <c r="G629" s="11">
        <v>0</v>
      </c>
      <c r="H629" s="11">
        <v>0</v>
      </c>
      <c r="I629" s="1">
        <v>0</v>
      </c>
    </row>
    <row r="630" spans="1:9" ht="24" customHeight="1" x14ac:dyDescent="0.25">
      <c r="A630" s="1" t="str">
        <v>2052-02-24</v>
      </c>
      <c r="B630" s="1" t="str">
        <v>FixedRateCoupon</v>
      </c>
      <c r="C630" s="12">
        <v>338.32003709151132</v>
      </c>
      <c r="D630" s="11">
        <v>0</v>
      </c>
      <c r="E630" s="13">
        <v>8.611111111111111E-2</v>
      </c>
      <c r="F630" s="1" t="str">
        <v>EUR</v>
      </c>
      <c r="G630" s="11">
        <v>0</v>
      </c>
      <c r="H630" s="11">
        <v>0</v>
      </c>
      <c r="I630" s="1">
        <v>0</v>
      </c>
    </row>
    <row r="631" spans="1:9" ht="24" customHeight="1" x14ac:dyDescent="0.25">
      <c r="A631" s="1" t="str">
        <v>2052-02-24</v>
      </c>
      <c r="B631" s="1" t="str">
        <v>Redemption</v>
      </c>
      <c r="C631" s="12">
        <v>1174.2928064537919</v>
      </c>
      <c r="D631" s="11">
        <v>0</v>
      </c>
      <c r="E631" s="13">
        <v>0</v>
      </c>
      <c r="F631" s="1" t="str">
        <v>EUR</v>
      </c>
      <c r="G631" s="11">
        <v>0</v>
      </c>
      <c r="H631" s="11">
        <v>0</v>
      </c>
      <c r="I631" s="1">
        <v>0</v>
      </c>
    </row>
    <row r="632" spans="1:9" ht="24" customHeight="1" x14ac:dyDescent="0.25">
      <c r="A632" s="1" t="str">
        <v>2052-03-24</v>
      </c>
      <c r="B632" s="1" t="str">
        <v>FixedRateCoupon</v>
      </c>
      <c r="C632" s="12">
        <v>310.8171893597904</v>
      </c>
      <c r="D632" s="11">
        <v>0</v>
      </c>
      <c r="E632" s="13">
        <v>8.0555555555555561E-2</v>
      </c>
      <c r="F632" s="1" t="str">
        <v>EUR</v>
      </c>
      <c r="G632" s="11">
        <v>0</v>
      </c>
      <c r="H632" s="11">
        <v>0</v>
      </c>
      <c r="I632" s="1">
        <v>0</v>
      </c>
    </row>
    <row r="633" spans="1:9" ht="24" customHeight="1" x14ac:dyDescent="0.25">
      <c r="A633" s="1" t="str">
        <v>2052-03-24</v>
      </c>
      <c r="B633" s="1" t="str">
        <v>Redemption</v>
      </c>
      <c r="C633" s="12">
        <v>1201.7956541855237</v>
      </c>
      <c r="D633" s="11">
        <v>0</v>
      </c>
      <c r="E633" s="13">
        <v>0</v>
      </c>
      <c r="F633" s="1" t="str">
        <v>EUR</v>
      </c>
      <c r="G633" s="11">
        <v>0</v>
      </c>
      <c r="H633" s="11">
        <v>0</v>
      </c>
      <c r="I633" s="1">
        <v>0</v>
      </c>
    </row>
    <row r="634" spans="1:9" ht="24" customHeight="1" x14ac:dyDescent="0.25">
      <c r="A634" s="1" t="str">
        <v>2052-04-24</v>
      </c>
      <c r="B634" s="1" t="str">
        <v>FixedRateCoupon</v>
      </c>
      <c r="C634" s="12">
        <v>326.04358004487483</v>
      </c>
      <c r="D634" s="11">
        <v>0</v>
      </c>
      <c r="E634" s="13">
        <v>8.611111111111111E-2</v>
      </c>
      <c r="F634" s="1" t="str">
        <v>EUR</v>
      </c>
      <c r="G634" s="11">
        <v>0</v>
      </c>
      <c r="H634" s="11">
        <v>0</v>
      </c>
      <c r="I634" s="1">
        <v>0</v>
      </c>
    </row>
    <row r="635" spans="1:9" ht="24" customHeight="1" x14ac:dyDescent="0.25">
      <c r="A635" s="1" t="str">
        <v>2052-04-24</v>
      </c>
      <c r="B635" s="1" t="str">
        <v>Redemption</v>
      </c>
      <c r="C635" s="12">
        <v>1186.5692635004234</v>
      </c>
      <c r="D635" s="11">
        <v>0</v>
      </c>
      <c r="E635" s="13">
        <v>0</v>
      </c>
      <c r="F635" s="1" t="str">
        <v>EUR</v>
      </c>
      <c r="G635" s="11">
        <v>0</v>
      </c>
      <c r="H635" s="11">
        <v>0</v>
      </c>
      <c r="I635" s="1">
        <v>0</v>
      </c>
    </row>
    <row r="636" spans="1:9" ht="24" customHeight="1" x14ac:dyDescent="0.25">
      <c r="A636" s="1" t="str">
        <v>2052-05-24</v>
      </c>
      <c r="B636" s="1" t="str">
        <v>FixedRateCoupon</v>
      </c>
      <c r="C636" s="12">
        <v>309.59319888721546</v>
      </c>
      <c r="D636" s="11">
        <v>0</v>
      </c>
      <c r="E636" s="13">
        <v>8.3333333333333329E-2</v>
      </c>
      <c r="F636" s="1" t="str">
        <v>EUR</v>
      </c>
      <c r="G636" s="11">
        <v>0</v>
      </c>
      <c r="H636" s="11">
        <v>0</v>
      </c>
      <c r="I636" s="1">
        <v>0</v>
      </c>
    </row>
    <row r="637" spans="1:9" ht="24" customHeight="1" x14ac:dyDescent="0.25">
      <c r="A637" s="1" t="str">
        <v>2052-05-24</v>
      </c>
      <c r="B637" s="1" t="str">
        <v>Redemption</v>
      </c>
      <c r="C637" s="12">
        <v>1203.0196446580958</v>
      </c>
      <c r="D637" s="11">
        <v>0</v>
      </c>
      <c r="E637" s="13">
        <v>0</v>
      </c>
      <c r="F637" s="1" t="str">
        <v>EUR</v>
      </c>
      <c r="G637" s="11">
        <v>0</v>
      </c>
      <c r="H637" s="11">
        <v>0</v>
      </c>
      <c r="I637" s="1">
        <v>0</v>
      </c>
    </row>
    <row r="638" spans="1:9" ht="24" customHeight="1" x14ac:dyDescent="0.25">
      <c r="A638" s="1" t="str">
        <v>2052-06-24</v>
      </c>
      <c r="B638" s="1" t="str">
        <v>FixedRateCoupon</v>
      </c>
      <c r="C638" s="12">
        <v>313.69737068605582</v>
      </c>
      <c r="D638" s="11">
        <v>0</v>
      </c>
      <c r="E638" s="13">
        <v>8.611111111111111E-2</v>
      </c>
      <c r="F638" s="1" t="str">
        <v>EUR</v>
      </c>
      <c r="G638" s="11">
        <v>0</v>
      </c>
      <c r="H638" s="11">
        <v>0</v>
      </c>
      <c r="I638" s="1">
        <v>0</v>
      </c>
    </row>
    <row r="639" spans="1:9" ht="24" customHeight="1" x14ac:dyDescent="0.25">
      <c r="A639" s="1" t="str">
        <v>2052-06-24</v>
      </c>
      <c r="B639" s="1" t="str">
        <v>Redemption</v>
      </c>
      <c r="C639" s="12">
        <v>1198.9154728592475</v>
      </c>
      <c r="D639" s="11">
        <v>0</v>
      </c>
      <c r="E639" s="13">
        <v>0</v>
      </c>
      <c r="F639" s="1" t="str">
        <v>EUR</v>
      </c>
      <c r="G639" s="11">
        <v>0</v>
      </c>
      <c r="H639" s="11">
        <v>0</v>
      </c>
      <c r="I639" s="1">
        <v>0</v>
      </c>
    </row>
    <row r="640" spans="1:9" ht="24" customHeight="1" x14ac:dyDescent="0.25">
      <c r="A640" s="1" t="str">
        <v>2052-07-24</v>
      </c>
      <c r="B640" s="1" t="str">
        <v>FixedRateCoupon</v>
      </c>
      <c r="C640" s="12">
        <v>297.58352329962872</v>
      </c>
      <c r="D640" s="11">
        <v>0</v>
      </c>
      <c r="E640" s="13">
        <v>8.3333333333333329E-2</v>
      </c>
      <c r="F640" s="1" t="str">
        <v>EUR</v>
      </c>
      <c r="G640" s="11">
        <v>0</v>
      </c>
      <c r="H640" s="11">
        <v>0</v>
      </c>
      <c r="I640" s="1">
        <v>0</v>
      </c>
    </row>
    <row r="641" spans="1:9" ht="24" customHeight="1" x14ac:dyDescent="0.25">
      <c r="A641" s="1" t="str">
        <v>2052-07-24</v>
      </c>
      <c r="B641" s="1" t="str">
        <v>Redemption</v>
      </c>
      <c r="C641" s="12">
        <v>1215.0293202456814</v>
      </c>
      <c r="D641" s="11">
        <v>0</v>
      </c>
      <c r="E641" s="13">
        <v>0</v>
      </c>
      <c r="F641" s="1" t="str">
        <v>EUR</v>
      </c>
      <c r="G641" s="11">
        <v>0</v>
      </c>
      <c r="H641" s="11">
        <v>0</v>
      </c>
      <c r="I641" s="1">
        <v>0</v>
      </c>
    </row>
    <row r="642" spans="1:9" ht="24" customHeight="1" x14ac:dyDescent="0.25">
      <c r="A642" s="1" t="str">
        <v>2052-08-24</v>
      </c>
      <c r="B642" s="1" t="str">
        <v>FixedRateCoupon</v>
      </c>
      <c r="C642" s="12">
        <v>301.22532258834701</v>
      </c>
      <c r="D642" s="11">
        <v>0</v>
      </c>
      <c r="E642" s="13">
        <v>8.611111111111111E-2</v>
      </c>
      <c r="F642" s="1" t="str">
        <v>EUR</v>
      </c>
      <c r="G642" s="11">
        <v>0</v>
      </c>
      <c r="H642" s="11">
        <v>0</v>
      </c>
      <c r="I642" s="1">
        <v>0</v>
      </c>
    </row>
    <row r="643" spans="1:9" ht="24" customHeight="1" x14ac:dyDescent="0.25">
      <c r="A643" s="1" t="str">
        <v>2052-08-24</v>
      </c>
      <c r="B643" s="1" t="str">
        <v>Redemption</v>
      </c>
      <c r="C643" s="12">
        <v>1211.3875209569524</v>
      </c>
      <c r="D643" s="11">
        <v>0</v>
      </c>
      <c r="E643" s="13">
        <v>0</v>
      </c>
      <c r="F643" s="1" t="str">
        <v>EUR</v>
      </c>
      <c r="G643" s="11">
        <v>0</v>
      </c>
      <c r="H643" s="11">
        <v>0</v>
      </c>
      <c r="I643" s="1">
        <v>0</v>
      </c>
    </row>
    <row r="644" spans="1:9" ht="24" customHeight="1" x14ac:dyDescent="0.25">
      <c r="A644" s="1" t="str">
        <v>2052-09-24</v>
      </c>
      <c r="B644" s="1" t="str">
        <v>FixedRateCoupon</v>
      </c>
      <c r="C644" s="12">
        <v>294.96648706340278</v>
      </c>
      <c r="D644" s="11">
        <v>0</v>
      </c>
      <c r="E644" s="13">
        <v>8.611111111111111E-2</v>
      </c>
      <c r="F644" s="1" t="str">
        <v>EUR</v>
      </c>
      <c r="G644" s="11">
        <v>0</v>
      </c>
      <c r="H644" s="11">
        <v>0</v>
      </c>
      <c r="I644" s="1">
        <v>0</v>
      </c>
    </row>
    <row r="645" spans="1:9" ht="24" customHeight="1" x14ac:dyDescent="0.25">
      <c r="A645" s="1" t="str">
        <v>2052-09-24</v>
      </c>
      <c r="B645" s="1" t="str">
        <v>Redemption</v>
      </c>
      <c r="C645" s="12">
        <v>1217.6463564818987</v>
      </c>
      <c r="D645" s="11">
        <v>0</v>
      </c>
      <c r="E645" s="13">
        <v>0</v>
      </c>
      <c r="F645" s="1" t="str">
        <v>EUR</v>
      </c>
      <c r="G645" s="11">
        <v>0</v>
      </c>
      <c r="H645" s="11">
        <v>0</v>
      </c>
      <c r="I645" s="1">
        <v>0</v>
      </c>
    </row>
    <row r="646" spans="1:9" ht="24" customHeight="1" x14ac:dyDescent="0.25">
      <c r="A646" s="1" t="str">
        <v>2052-10-24</v>
      </c>
      <c r="B646" s="1" t="str">
        <v>FixedRateCoupon</v>
      </c>
      <c r="C646" s="12">
        <v>279.36320731120605</v>
      </c>
      <c r="D646" s="11">
        <v>0</v>
      </c>
      <c r="E646" s="13">
        <v>8.3333333333333329E-2</v>
      </c>
      <c r="F646" s="1" t="str">
        <v>EUR</v>
      </c>
      <c r="G646" s="11">
        <v>0</v>
      </c>
      <c r="H646" s="11">
        <v>0</v>
      </c>
      <c r="I646" s="1">
        <v>0</v>
      </c>
    </row>
    <row r="647" spans="1:9" ht="24" customHeight="1" x14ac:dyDescent="0.25">
      <c r="A647" s="1" t="str">
        <v>2052-10-24</v>
      </c>
      <c r="B647" s="1" t="str">
        <v>Redemption</v>
      </c>
      <c r="C647" s="12">
        <v>1233.2496362341044</v>
      </c>
      <c r="D647" s="11">
        <v>0</v>
      </c>
      <c r="E647" s="13">
        <v>0</v>
      </c>
      <c r="F647" s="1" t="str">
        <v>EUR</v>
      </c>
      <c r="G647" s="11">
        <v>0</v>
      </c>
      <c r="H647" s="11">
        <v>0</v>
      </c>
      <c r="I647" s="1">
        <v>0</v>
      </c>
    </row>
    <row r="648" spans="1:9" ht="24" customHeight="1" x14ac:dyDescent="0.25">
      <c r="A648" s="1" t="str">
        <v>2052-11-24</v>
      </c>
      <c r="B648" s="1" t="str">
        <v>FixedRateCoupon</v>
      </c>
      <c r="C648" s="12">
        <v>282.30352443437005</v>
      </c>
      <c r="D648" s="11">
        <v>0</v>
      </c>
      <c r="E648" s="13">
        <v>8.611111111111111E-2</v>
      </c>
      <c r="F648" s="1" t="str">
        <v>EUR</v>
      </c>
      <c r="G648" s="11">
        <v>0</v>
      </c>
      <c r="H648" s="11">
        <v>0</v>
      </c>
      <c r="I648" s="1">
        <v>0</v>
      </c>
    </row>
    <row r="649" spans="1:9" ht="24" customHeight="1" x14ac:dyDescent="0.25">
      <c r="A649" s="1" t="str">
        <v>2052-11-24</v>
      </c>
      <c r="B649" s="1" t="str">
        <v>Redemption</v>
      </c>
      <c r="C649" s="12">
        <v>1230.3093191109292</v>
      </c>
      <c r="D649" s="11">
        <v>0</v>
      </c>
      <c r="E649" s="13">
        <v>0</v>
      </c>
      <c r="F649" s="1" t="str">
        <v>EUR</v>
      </c>
      <c r="G649" s="11">
        <v>0</v>
      </c>
      <c r="H649" s="11">
        <v>0</v>
      </c>
      <c r="I649" s="1">
        <v>0</v>
      </c>
    </row>
    <row r="650" spans="1:9" ht="24" customHeight="1" x14ac:dyDescent="0.25">
      <c r="A650" s="1" t="str">
        <v>2052-12-24</v>
      </c>
      <c r="B650" s="1" t="str">
        <v>FixedRateCoupon</v>
      </c>
      <c r="C650" s="12">
        <v>267.04541253448087</v>
      </c>
      <c r="D650" s="11">
        <v>0</v>
      </c>
      <c r="E650" s="13">
        <v>8.3333333333333329E-2</v>
      </c>
      <c r="F650" s="1" t="str">
        <v>EUR</v>
      </c>
      <c r="G650" s="11">
        <v>0</v>
      </c>
      <c r="H650" s="11">
        <v>0</v>
      </c>
      <c r="I650" s="1">
        <v>0</v>
      </c>
    </row>
    <row r="651" spans="1:9" ht="24" customHeight="1" x14ac:dyDescent="0.25">
      <c r="A651" s="1" t="str">
        <v>2052-12-24</v>
      </c>
      <c r="B651" s="1" t="str">
        <v>Redemption</v>
      </c>
      <c r="C651" s="12">
        <v>1245.5674310108298</v>
      </c>
      <c r="D651" s="11">
        <v>0</v>
      </c>
      <c r="E651" s="13">
        <v>0</v>
      </c>
      <c r="F651" s="1" t="str">
        <v>EUR</v>
      </c>
      <c r="G651" s="11">
        <v>0</v>
      </c>
      <c r="H651" s="11">
        <v>0</v>
      </c>
      <c r="I651" s="1">
        <v>0</v>
      </c>
    </row>
    <row r="652" spans="1:9" ht="24" customHeight="1" x14ac:dyDescent="0.25">
      <c r="A652" s="1" t="str">
        <v>2053-01-24</v>
      </c>
      <c r="B652" s="1" t="str">
        <v>FixedRateCoupon</v>
      </c>
      <c r="C652" s="12">
        <v>269.51149455874099</v>
      </c>
      <c r="D652" s="11">
        <v>0</v>
      </c>
      <c r="E652" s="13">
        <v>8.611111111111111E-2</v>
      </c>
      <c r="F652" s="1" t="str">
        <v>EUR</v>
      </c>
      <c r="G652" s="11">
        <v>0</v>
      </c>
      <c r="H652" s="11">
        <v>0</v>
      </c>
      <c r="I652" s="1">
        <v>0</v>
      </c>
    </row>
    <row r="653" spans="1:9" ht="24" customHeight="1" x14ac:dyDescent="0.25">
      <c r="A653" s="1" t="str">
        <v>2053-01-24</v>
      </c>
      <c r="B653" s="1" t="str">
        <v>Redemption</v>
      </c>
      <c r="C653" s="12">
        <v>1243.1013489865582</v>
      </c>
      <c r="D653" s="11">
        <v>0</v>
      </c>
      <c r="E653" s="13">
        <v>0</v>
      </c>
      <c r="F653" s="1" t="str">
        <v>EUR</v>
      </c>
      <c r="G653" s="11">
        <v>0</v>
      </c>
      <c r="H653" s="11">
        <v>0</v>
      </c>
      <c r="I653" s="1">
        <v>0</v>
      </c>
    </row>
    <row r="654" spans="1:9" ht="24" customHeight="1" x14ac:dyDescent="0.25">
      <c r="A654" s="1" t="str">
        <v>2053-02-24</v>
      </c>
      <c r="B654" s="1" t="str">
        <v>FixedRateCoupon</v>
      </c>
      <c r="C654" s="12">
        <v>263.08880425564377</v>
      </c>
      <c r="D654" s="11">
        <v>0</v>
      </c>
      <c r="E654" s="13">
        <v>8.611111111111111E-2</v>
      </c>
      <c r="F654" s="1" t="str">
        <v>EUR</v>
      </c>
      <c r="G654" s="11">
        <v>0</v>
      </c>
      <c r="H654" s="11">
        <v>0</v>
      </c>
      <c r="I654" s="1">
        <v>0</v>
      </c>
    </row>
    <row r="655" spans="1:9" ht="24" customHeight="1" x14ac:dyDescent="0.25">
      <c r="A655" s="1" t="str">
        <v>2053-02-24</v>
      </c>
      <c r="B655" s="1" t="str">
        <v>Redemption</v>
      </c>
      <c r="C655" s="12">
        <v>1249.5240392896594</v>
      </c>
      <c r="D655" s="11">
        <v>0</v>
      </c>
      <c r="E655" s="13">
        <v>0</v>
      </c>
      <c r="F655" s="1" t="str">
        <v>EUR</v>
      </c>
      <c r="G655" s="11">
        <v>0</v>
      </c>
      <c r="H655" s="11">
        <v>0</v>
      </c>
      <c r="I655" s="1">
        <v>0</v>
      </c>
    </row>
    <row r="656" spans="1:9" ht="24" customHeight="1" x14ac:dyDescent="0.25">
      <c r="A656" s="1" t="str">
        <v>2053-03-24</v>
      </c>
      <c r="B656" s="1" t="str">
        <v>FixedRateCoupon</v>
      </c>
      <c r="C656" s="12">
        <v>231.79748520884266</v>
      </c>
      <c r="D656" s="11">
        <v>0</v>
      </c>
      <c r="E656" s="13">
        <v>7.7777777777777779E-2</v>
      </c>
      <c r="F656" s="1" t="str">
        <v>EUR</v>
      </c>
      <c r="G656" s="11">
        <v>0</v>
      </c>
      <c r="H656" s="11">
        <v>0</v>
      </c>
      <c r="I656" s="1">
        <v>0</v>
      </c>
    </row>
    <row r="657" spans="1:9" ht="24" customHeight="1" x14ac:dyDescent="0.25">
      <c r="A657" s="1" t="str">
        <v>2053-03-24</v>
      </c>
      <c r="B657" s="1" t="str">
        <v>Redemption</v>
      </c>
      <c r="C657" s="12">
        <v>1280.8153583364692</v>
      </c>
      <c r="D657" s="11">
        <v>0</v>
      </c>
      <c r="E657" s="13">
        <v>0</v>
      </c>
      <c r="F657" s="1" t="str">
        <v>EUR</v>
      </c>
      <c r="G657" s="11">
        <v>0</v>
      </c>
      <c r="H657" s="11">
        <v>0</v>
      </c>
      <c r="I657" s="1">
        <v>0</v>
      </c>
    </row>
    <row r="658" spans="1:9" ht="24" customHeight="1" x14ac:dyDescent="0.25">
      <c r="A658" s="1" t="str">
        <v>2053-04-24</v>
      </c>
      <c r="B658" s="1" t="str">
        <v>FixedRateCoupon</v>
      </c>
      <c r="C658" s="12">
        <v>250.01538403457542</v>
      </c>
      <c r="D658" s="11">
        <v>0</v>
      </c>
      <c r="E658" s="13">
        <v>8.611111111111111E-2</v>
      </c>
      <c r="F658" s="1" t="str">
        <v>EUR</v>
      </c>
      <c r="G658" s="11">
        <v>0</v>
      </c>
      <c r="H658" s="11">
        <v>0</v>
      </c>
      <c r="I658" s="1">
        <v>0</v>
      </c>
    </row>
    <row r="659" spans="1:9" ht="24" customHeight="1" x14ac:dyDescent="0.25">
      <c r="A659" s="1" t="str">
        <v>2053-04-24</v>
      </c>
      <c r="B659" s="1" t="str">
        <v>Redemption</v>
      </c>
      <c r="C659" s="12">
        <v>1262.5974595107255</v>
      </c>
      <c r="D659" s="11">
        <v>0</v>
      </c>
      <c r="E659" s="13">
        <v>0</v>
      </c>
      <c r="F659" s="1" t="str">
        <v>EUR</v>
      </c>
      <c r="G659" s="11">
        <v>0</v>
      </c>
      <c r="H659" s="11">
        <v>0</v>
      </c>
      <c r="I659" s="1">
        <v>0</v>
      </c>
    </row>
    <row r="660" spans="1:9" ht="24" customHeight="1" x14ac:dyDescent="0.25">
      <c r="A660" s="1" t="str">
        <v>2053-05-24</v>
      </c>
      <c r="B660" s="1" t="str">
        <v>FixedRateCoupon</v>
      </c>
      <c r="C660" s="12">
        <v>235.63738434880972</v>
      </c>
      <c r="D660" s="11">
        <v>0</v>
      </c>
      <c r="E660" s="13">
        <v>8.3333333333333329E-2</v>
      </c>
      <c r="F660" s="1" t="str">
        <v>EUR</v>
      </c>
      <c r="G660" s="11">
        <v>0</v>
      </c>
      <c r="H660" s="11">
        <v>0</v>
      </c>
      <c r="I660" s="1">
        <v>0</v>
      </c>
    </row>
    <row r="661" spans="1:9" ht="24" customHeight="1" x14ac:dyDescent="0.25">
      <c r="A661" s="1" t="str">
        <v>2053-05-24</v>
      </c>
      <c r="B661" s="1" t="str">
        <v>Redemption</v>
      </c>
      <c r="C661" s="12">
        <v>1276.9754591965029</v>
      </c>
      <c r="D661" s="11">
        <v>0</v>
      </c>
      <c r="E661" s="13">
        <v>0</v>
      </c>
      <c r="F661" s="1" t="str">
        <v>EUR</v>
      </c>
      <c r="G661" s="11">
        <v>0</v>
      </c>
      <c r="H661" s="11">
        <v>0</v>
      </c>
      <c r="I661" s="1">
        <v>0</v>
      </c>
    </row>
    <row r="662" spans="1:9" ht="24" customHeight="1" x14ac:dyDescent="0.25">
      <c r="A662" s="1" t="str">
        <v>2053-06-24</v>
      </c>
      <c r="B662" s="1" t="str">
        <v>FixedRateCoupon</v>
      </c>
      <c r="C662" s="12">
        <v>236.89425728792142</v>
      </c>
      <c r="D662" s="11">
        <v>0</v>
      </c>
      <c r="E662" s="13">
        <v>8.611111111111111E-2</v>
      </c>
      <c r="F662" s="1" t="str">
        <v>EUR</v>
      </c>
      <c r="G662" s="11">
        <v>0</v>
      </c>
      <c r="H662" s="11">
        <v>0</v>
      </c>
      <c r="I662" s="1">
        <v>0</v>
      </c>
    </row>
    <row r="663" spans="1:9" ht="24" customHeight="1" x14ac:dyDescent="0.25">
      <c r="A663" s="1" t="str">
        <v>2053-06-24</v>
      </c>
      <c r="B663" s="1" t="str">
        <v>Redemption</v>
      </c>
      <c r="C663" s="12">
        <v>1275.7185862573824</v>
      </c>
      <c r="D663" s="11">
        <v>0</v>
      </c>
      <c r="E663" s="13">
        <v>0</v>
      </c>
      <c r="F663" s="1" t="str">
        <v>EUR</v>
      </c>
      <c r="G663" s="11">
        <v>0</v>
      </c>
      <c r="H663" s="11">
        <v>0</v>
      </c>
      <c r="I663" s="1">
        <v>0</v>
      </c>
    </row>
    <row r="664" spans="1:9" ht="24" customHeight="1" x14ac:dyDescent="0.25">
      <c r="A664" s="1" t="str">
        <v>2053-07-24</v>
      </c>
      <c r="B664" s="1" t="str">
        <v>FixedRateCoupon</v>
      </c>
      <c r="C664" s="12">
        <v>222.87391412154028</v>
      </c>
      <c r="D664" s="11">
        <v>0</v>
      </c>
      <c r="E664" s="13">
        <v>8.3333333333333329E-2</v>
      </c>
      <c r="F664" s="1" t="str">
        <v>EUR</v>
      </c>
      <c r="G664" s="11">
        <v>0</v>
      </c>
      <c r="H664" s="11">
        <v>0</v>
      </c>
      <c r="I664" s="1">
        <v>0</v>
      </c>
    </row>
    <row r="665" spans="1:9" ht="24" customHeight="1" x14ac:dyDescent="0.25">
      <c r="A665" s="1" t="str">
        <v>2053-07-24</v>
      </c>
      <c r="B665" s="1" t="str">
        <v>Redemption</v>
      </c>
      <c r="C665" s="12">
        <v>1289.7389294237728</v>
      </c>
      <c r="D665" s="11">
        <v>0</v>
      </c>
      <c r="E665" s="13">
        <v>0</v>
      </c>
      <c r="F665" s="1" t="str">
        <v>EUR</v>
      </c>
      <c r="G665" s="11">
        <v>0</v>
      </c>
      <c r="H665" s="11">
        <v>0</v>
      </c>
      <c r="I665" s="1">
        <v>0</v>
      </c>
    </row>
    <row r="666" spans="1:9" ht="24" customHeight="1" x14ac:dyDescent="0.25">
      <c r="A666" s="1" t="str">
        <v>2053-08-24</v>
      </c>
      <c r="B666" s="1" t="str">
        <v>FixedRateCoupon</v>
      </c>
      <c r="C666" s="12">
        <v>223.63939345690216</v>
      </c>
      <c r="D666" s="11">
        <v>0</v>
      </c>
      <c r="E666" s="13">
        <v>8.611111111111111E-2</v>
      </c>
      <c r="F666" s="1" t="str">
        <v>EUR</v>
      </c>
      <c r="G666" s="11">
        <v>0</v>
      </c>
      <c r="H666" s="11">
        <v>0</v>
      </c>
      <c r="I666" s="1">
        <v>0</v>
      </c>
    </row>
    <row r="667" spans="1:9" ht="24" customHeight="1" x14ac:dyDescent="0.25">
      <c r="A667" s="1" t="str">
        <v>2053-08-24</v>
      </c>
      <c r="B667" s="1" t="str">
        <v>Redemption</v>
      </c>
      <c r="C667" s="12">
        <v>1288.9734500884006</v>
      </c>
      <c r="D667" s="11">
        <v>0</v>
      </c>
      <c r="E667" s="13">
        <v>0</v>
      </c>
      <c r="F667" s="1" t="str">
        <v>EUR</v>
      </c>
      <c r="G667" s="11">
        <v>0</v>
      </c>
      <c r="H667" s="11">
        <v>0</v>
      </c>
      <c r="I667" s="1">
        <v>0</v>
      </c>
    </row>
    <row r="668" spans="1:9" ht="24" customHeight="1" x14ac:dyDescent="0.25">
      <c r="A668" s="1" t="str">
        <v>2053-09-24</v>
      </c>
      <c r="B668" s="1" t="str">
        <v>FixedRateCoupon</v>
      </c>
      <c r="C668" s="12">
        <v>216.97969729811206</v>
      </c>
      <c r="D668" s="11">
        <v>0</v>
      </c>
      <c r="E668" s="13">
        <v>8.611111111111111E-2</v>
      </c>
      <c r="F668" s="1" t="str">
        <v>EUR</v>
      </c>
      <c r="G668" s="11">
        <v>0</v>
      </c>
      <c r="H668" s="11">
        <v>0</v>
      </c>
      <c r="I668" s="1">
        <v>0</v>
      </c>
    </row>
    <row r="669" spans="1:9" ht="24" customHeight="1" x14ac:dyDescent="0.25">
      <c r="A669" s="1" t="str">
        <v>2053-09-24</v>
      </c>
      <c r="B669" s="1" t="str">
        <v>Redemption</v>
      </c>
      <c r="C669" s="12">
        <v>1295.6331462471935</v>
      </c>
      <c r="D669" s="11">
        <v>0</v>
      </c>
      <c r="E669" s="13">
        <v>0</v>
      </c>
      <c r="F669" s="1" t="str">
        <v>EUR</v>
      </c>
      <c r="G669" s="11">
        <v>0</v>
      </c>
      <c r="H669" s="11">
        <v>0</v>
      </c>
      <c r="I669" s="1">
        <v>0</v>
      </c>
    </row>
    <row r="670" spans="1:9" ht="24" customHeight="1" x14ac:dyDescent="0.25">
      <c r="A670" s="1" t="str">
        <v>2053-10-24</v>
      </c>
      <c r="B670" s="1" t="str">
        <v>FixedRateCoupon</v>
      </c>
      <c r="C670" s="12">
        <v>203.50218649274345</v>
      </c>
      <c r="D670" s="11">
        <v>0</v>
      </c>
      <c r="E670" s="13">
        <v>8.3333333333333329E-2</v>
      </c>
      <c r="F670" s="1" t="str">
        <v>EUR</v>
      </c>
      <c r="G670" s="11">
        <v>0</v>
      </c>
      <c r="H670" s="11">
        <v>0</v>
      </c>
      <c r="I670" s="1">
        <v>0</v>
      </c>
    </row>
    <row r="671" spans="1:9" ht="24" customHeight="1" x14ac:dyDescent="0.25">
      <c r="A671" s="1" t="str">
        <v>2053-10-24</v>
      </c>
      <c r="B671" s="1" t="str">
        <v>Redemption</v>
      </c>
      <c r="C671" s="12">
        <v>1309.1106570525662</v>
      </c>
      <c r="D671" s="11">
        <v>0</v>
      </c>
      <c r="E671" s="13">
        <v>0</v>
      </c>
      <c r="F671" s="1" t="str">
        <v>EUR</v>
      </c>
      <c r="G671" s="11">
        <v>0</v>
      </c>
      <c r="H671" s="11">
        <v>0</v>
      </c>
      <c r="I671" s="1">
        <v>0</v>
      </c>
    </row>
    <row r="672" spans="1:9" ht="24" customHeight="1" x14ac:dyDescent="0.25">
      <c r="A672" s="1" t="str">
        <v>2053-11-24</v>
      </c>
      <c r="B672" s="1" t="str">
        <v>FixedRateCoupon</v>
      </c>
      <c r="C672" s="12">
        <v>203.52185431439665</v>
      </c>
      <c r="D672" s="11">
        <v>0</v>
      </c>
      <c r="E672" s="13">
        <v>8.611111111111111E-2</v>
      </c>
      <c r="F672" s="1" t="str">
        <v>EUR</v>
      </c>
      <c r="G672" s="11">
        <v>0</v>
      </c>
      <c r="H672" s="11">
        <v>0</v>
      </c>
      <c r="I672" s="1">
        <v>0</v>
      </c>
    </row>
    <row r="673" spans="1:9" ht="24" customHeight="1" x14ac:dyDescent="0.25">
      <c r="A673" s="1" t="str">
        <v>2053-11-24</v>
      </c>
      <c r="B673" s="1" t="str">
        <v>Redemption</v>
      </c>
      <c r="C673" s="12">
        <v>1309.0909892309064</v>
      </c>
      <c r="D673" s="11">
        <v>0</v>
      </c>
      <c r="E673" s="13">
        <v>0</v>
      </c>
      <c r="F673" s="1" t="str">
        <v>EUR</v>
      </c>
      <c r="G673" s="11">
        <v>0</v>
      </c>
      <c r="H673" s="11">
        <v>0</v>
      </c>
      <c r="I673" s="1">
        <v>0</v>
      </c>
    </row>
    <row r="674" spans="1:9" ht="24" customHeight="1" x14ac:dyDescent="0.25">
      <c r="A674" s="1" t="str">
        <v>2053-12-24</v>
      </c>
      <c r="B674" s="1" t="str">
        <v>FixedRateCoupon</v>
      </c>
      <c r="C674" s="12">
        <v>190.41117826132606</v>
      </c>
      <c r="D674" s="11">
        <v>0</v>
      </c>
      <c r="E674" s="13">
        <v>8.3333333333333329E-2</v>
      </c>
      <c r="F674" s="1" t="str">
        <v>EUR</v>
      </c>
      <c r="G674" s="11">
        <v>0</v>
      </c>
      <c r="H674" s="11">
        <v>0</v>
      </c>
      <c r="I674" s="1">
        <v>0</v>
      </c>
    </row>
    <row r="675" spans="1:9" ht="24" customHeight="1" x14ac:dyDescent="0.25">
      <c r="A675" s="1" t="str">
        <v>2053-12-24</v>
      </c>
      <c r="B675" s="1" t="str">
        <v>Redemption</v>
      </c>
      <c r="C675" s="12">
        <v>1322.2016652839811</v>
      </c>
      <c r="D675" s="11">
        <v>0</v>
      </c>
      <c r="E675" s="13">
        <v>0</v>
      </c>
      <c r="F675" s="1" t="str">
        <v>EUR</v>
      </c>
      <c r="G675" s="11">
        <v>0</v>
      </c>
      <c r="H675" s="11">
        <v>0</v>
      </c>
      <c r="I675" s="1">
        <v>0</v>
      </c>
    </row>
    <row r="676" spans="1:9" ht="24" customHeight="1" x14ac:dyDescent="0.25">
      <c r="A676" s="1" t="str">
        <v>2054-01-24</v>
      </c>
      <c r="B676" s="1" t="str">
        <v>FixedRateCoupon</v>
      </c>
      <c r="C676" s="12">
        <v>189.92684226606971</v>
      </c>
      <c r="D676" s="11">
        <v>0</v>
      </c>
      <c r="E676" s="13">
        <v>8.611111111111111E-2</v>
      </c>
      <c r="F676" s="1" t="str">
        <v>EUR</v>
      </c>
      <c r="G676" s="11">
        <v>0</v>
      </c>
      <c r="H676" s="11">
        <v>0</v>
      </c>
      <c r="I676" s="1">
        <v>0</v>
      </c>
    </row>
    <row r="677" spans="1:9" ht="24" customHeight="1" x14ac:dyDescent="0.25">
      <c r="A677" s="1" t="str">
        <v>2054-01-24</v>
      </c>
      <c r="B677" s="1" t="str">
        <v>Redemption</v>
      </c>
      <c r="C677" s="12">
        <v>1322.6860012792313</v>
      </c>
      <c r="D677" s="11">
        <v>0</v>
      </c>
      <c r="E677" s="13">
        <v>0</v>
      </c>
      <c r="F677" s="1" t="str">
        <v>EUR</v>
      </c>
      <c r="G677" s="11">
        <v>0</v>
      </c>
      <c r="H677" s="11">
        <v>0</v>
      </c>
      <c r="I677" s="1">
        <v>0</v>
      </c>
    </row>
    <row r="678" spans="1:9" ht="24" customHeight="1" x14ac:dyDescent="0.25">
      <c r="A678" s="1" t="str">
        <v>2054-02-24</v>
      </c>
      <c r="B678" s="1" t="str">
        <v>FixedRateCoupon</v>
      </c>
      <c r="C678" s="12">
        <v>183.09296459279369</v>
      </c>
      <c r="D678" s="11">
        <v>0</v>
      </c>
      <c r="E678" s="13">
        <v>8.611111111111111E-2</v>
      </c>
      <c r="F678" s="1" t="str">
        <v>EUR</v>
      </c>
      <c r="G678" s="11">
        <v>0</v>
      </c>
      <c r="H678" s="11">
        <v>0</v>
      </c>
      <c r="I678" s="1">
        <v>0</v>
      </c>
    </row>
    <row r="679" spans="1:9" ht="24" customHeight="1" x14ac:dyDescent="0.25">
      <c r="A679" s="1" t="str">
        <v>2054-02-24</v>
      </c>
      <c r="B679" s="1" t="str">
        <v>Redemption</v>
      </c>
      <c r="C679" s="12">
        <v>1329.5198789525093</v>
      </c>
      <c r="D679" s="11">
        <v>0</v>
      </c>
      <c r="E679" s="13">
        <v>0</v>
      </c>
      <c r="F679" s="1" t="str">
        <v>EUR</v>
      </c>
      <c r="G679" s="11">
        <v>0</v>
      </c>
      <c r="H679" s="11">
        <v>0</v>
      </c>
      <c r="I679" s="1">
        <v>0</v>
      </c>
    </row>
    <row r="680" spans="1:9" ht="24" customHeight="1" x14ac:dyDescent="0.25">
      <c r="A680" s="1" t="str">
        <v>2054-03-24</v>
      </c>
      <c r="B680" s="1" t="str">
        <v>FixedRateCoupon</v>
      </c>
      <c r="C680" s="12">
        <v>159.16986449816432</v>
      </c>
      <c r="D680" s="11">
        <v>0</v>
      </c>
      <c r="E680" s="13">
        <v>7.7777777777777779E-2</v>
      </c>
      <c r="F680" s="1" t="str">
        <v>EUR</v>
      </c>
      <c r="G680" s="11">
        <v>0</v>
      </c>
      <c r="H680" s="11">
        <v>0</v>
      </c>
      <c r="I680" s="1">
        <v>0</v>
      </c>
    </row>
    <row r="681" spans="1:9" ht="24" customHeight="1" x14ac:dyDescent="0.25">
      <c r="A681" s="1" t="str">
        <v>2054-03-24</v>
      </c>
      <c r="B681" s="1" t="str">
        <v>Redemption</v>
      </c>
      <c r="C681" s="12">
        <v>1353.442979047144</v>
      </c>
      <c r="D681" s="11">
        <v>0</v>
      </c>
      <c r="E681" s="13">
        <v>0</v>
      </c>
      <c r="F681" s="1" t="str">
        <v>EUR</v>
      </c>
      <c r="G681" s="11">
        <v>0</v>
      </c>
      <c r="H681" s="11">
        <v>0</v>
      </c>
      <c r="I681" s="1">
        <v>0</v>
      </c>
    </row>
    <row r="682" spans="1:9" ht="24" customHeight="1" x14ac:dyDescent="0.25">
      <c r="A682" s="1" t="str">
        <v>2054-04-24</v>
      </c>
      <c r="B682" s="1" t="str">
        <v>FixedRateCoupon</v>
      </c>
      <c r="C682" s="12">
        <v>169.23098982646215</v>
      </c>
      <c r="D682" s="11">
        <v>0</v>
      </c>
      <c r="E682" s="13">
        <v>8.611111111111111E-2</v>
      </c>
      <c r="F682" s="1" t="str">
        <v>EUR</v>
      </c>
      <c r="G682" s="11">
        <v>0</v>
      </c>
      <c r="H682" s="11">
        <v>0</v>
      </c>
      <c r="I682" s="1">
        <v>0</v>
      </c>
    </row>
    <row r="683" spans="1:9" ht="24" customHeight="1" x14ac:dyDescent="0.25">
      <c r="A683" s="1" t="str">
        <v>2054-04-24</v>
      </c>
      <c r="B683" s="1" t="str">
        <v>Redemption</v>
      </c>
      <c r="C683" s="12">
        <v>1343.3818537188417</v>
      </c>
      <c r="D683" s="11">
        <v>0</v>
      </c>
      <c r="E683" s="13">
        <v>0</v>
      </c>
      <c r="F683" s="1" t="str">
        <v>EUR</v>
      </c>
      <c r="G683" s="11">
        <v>0</v>
      </c>
      <c r="H683" s="11">
        <v>0</v>
      </c>
      <c r="I683" s="1">
        <v>0</v>
      </c>
    </row>
    <row r="684" spans="1:9" ht="24" customHeight="1" x14ac:dyDescent="0.25">
      <c r="A684" s="1" t="str">
        <v>2054-05-24</v>
      </c>
      <c r="B684" s="1" t="str">
        <v>FixedRateCoupon</v>
      </c>
      <c r="C684" s="12">
        <v>157.05501636991755</v>
      </c>
      <c r="D684" s="11">
        <v>0</v>
      </c>
      <c r="E684" s="13">
        <v>8.3333333333333329E-2</v>
      </c>
      <c r="F684" s="1" t="str">
        <v>EUR</v>
      </c>
      <c r="G684" s="11">
        <v>0</v>
      </c>
      <c r="H684" s="11">
        <v>0</v>
      </c>
      <c r="I684" s="1">
        <v>0</v>
      </c>
    </row>
    <row r="685" spans="1:9" ht="24" customHeight="1" x14ac:dyDescent="0.25">
      <c r="A685" s="1" t="str">
        <v>2054-05-24</v>
      </c>
      <c r="B685" s="1" t="str">
        <v>Redemption</v>
      </c>
      <c r="C685" s="12">
        <v>1355.5578271753911</v>
      </c>
      <c r="D685" s="11">
        <v>0</v>
      </c>
      <c r="E685" s="13">
        <v>0</v>
      </c>
      <c r="F685" s="1" t="str">
        <v>EUR</v>
      </c>
      <c r="G685" s="11">
        <v>0</v>
      </c>
      <c r="H685" s="11">
        <v>0</v>
      </c>
      <c r="I685" s="1">
        <v>0</v>
      </c>
    </row>
    <row r="686" spans="1:9" ht="24" customHeight="1" x14ac:dyDescent="0.25">
      <c r="A686" s="1" t="str">
        <v>2054-06-24</v>
      </c>
      <c r="B686" s="1" t="str">
        <v>FixedRateCoupon</v>
      </c>
      <c r="C686" s="12">
        <v>155.28646814184194</v>
      </c>
      <c r="D686" s="11">
        <v>0</v>
      </c>
      <c r="E686" s="13">
        <v>8.611111111111111E-2</v>
      </c>
      <c r="F686" s="1" t="str">
        <v>EUR</v>
      </c>
      <c r="G686" s="11">
        <v>0</v>
      </c>
      <c r="H686" s="11">
        <v>0</v>
      </c>
      <c r="I686" s="1">
        <v>0</v>
      </c>
    </row>
    <row r="687" spans="1:9" ht="24" customHeight="1" x14ac:dyDescent="0.25">
      <c r="A687" s="1" t="str">
        <v>2054-06-24</v>
      </c>
      <c r="B687" s="1" t="str">
        <v>Redemption</v>
      </c>
      <c r="C687" s="12">
        <v>1357.3263754034597</v>
      </c>
      <c r="D687" s="11">
        <v>0</v>
      </c>
      <c r="E687" s="13">
        <v>0</v>
      </c>
      <c r="F687" s="1" t="str">
        <v>EUR</v>
      </c>
      <c r="G687" s="11">
        <v>0</v>
      </c>
      <c r="H687" s="11">
        <v>0</v>
      </c>
      <c r="I687" s="1">
        <v>0</v>
      </c>
    </row>
    <row r="688" spans="1:9" ht="24" customHeight="1" x14ac:dyDescent="0.25">
      <c r="A688" s="1" t="str">
        <v>2054-07-24</v>
      </c>
      <c r="B688" s="1" t="str">
        <v>FixedRateCoupon</v>
      </c>
      <c r="C688" s="12">
        <v>143.4905953570233</v>
      </c>
      <c r="D688" s="11">
        <v>0</v>
      </c>
      <c r="E688" s="13">
        <v>8.3333333333333329E-2</v>
      </c>
      <c r="F688" s="1" t="str">
        <v>EUR</v>
      </c>
      <c r="G688" s="11">
        <v>0</v>
      </c>
      <c r="H688" s="11">
        <v>0</v>
      </c>
      <c r="I688" s="1">
        <v>0</v>
      </c>
    </row>
    <row r="689" spans="1:9" ht="24" customHeight="1" x14ac:dyDescent="0.25">
      <c r="A689" s="1" t="str">
        <v>2054-07-24</v>
      </c>
      <c r="B689" s="1" t="str">
        <v>Redemption</v>
      </c>
      <c r="C689" s="12">
        <v>1369.1222481882869</v>
      </c>
      <c r="D689" s="11">
        <v>0</v>
      </c>
      <c r="E689" s="13">
        <v>0</v>
      </c>
      <c r="F689" s="1" t="str">
        <v>EUR</v>
      </c>
      <c r="G689" s="11">
        <v>0</v>
      </c>
      <c r="H689" s="11">
        <v>0</v>
      </c>
      <c r="I689" s="1">
        <v>0</v>
      </c>
    </row>
    <row r="690" spans="1:9" ht="24" customHeight="1" x14ac:dyDescent="0.25">
      <c r="A690" s="1" t="str">
        <v>2054-08-24</v>
      </c>
      <c r="B690" s="1" t="str">
        <v>FixedRateCoupon</v>
      </c>
      <c r="C690" s="12">
        <v>141.19981691995125</v>
      </c>
      <c r="D690" s="11">
        <v>0</v>
      </c>
      <c r="E690" s="13">
        <v>8.611111111111111E-2</v>
      </c>
      <c r="F690" s="1" t="str">
        <v>EUR</v>
      </c>
      <c r="G690" s="11">
        <v>0</v>
      </c>
      <c r="H690" s="11">
        <v>0</v>
      </c>
      <c r="I690" s="1">
        <v>0</v>
      </c>
    </row>
    <row r="691" spans="1:9" ht="24" customHeight="1" x14ac:dyDescent="0.25">
      <c r="A691" s="1" t="str">
        <v>2054-08-24</v>
      </c>
      <c r="B691" s="1" t="str">
        <v>Redemption</v>
      </c>
      <c r="C691" s="12">
        <v>1371.4130266253524</v>
      </c>
      <c r="D691" s="11">
        <v>0</v>
      </c>
      <c r="E691" s="13">
        <v>0</v>
      </c>
      <c r="F691" s="1" t="str">
        <v>EUR</v>
      </c>
      <c r="G691" s="11">
        <v>0</v>
      </c>
      <c r="H691" s="11">
        <v>0</v>
      </c>
      <c r="I691" s="1">
        <v>0</v>
      </c>
    </row>
    <row r="692" spans="1:9" ht="24" customHeight="1" x14ac:dyDescent="0.25">
      <c r="A692" s="1" t="str">
        <v>2054-09-24</v>
      </c>
      <c r="B692" s="1" t="str">
        <v>FixedRateCoupon</v>
      </c>
      <c r="C692" s="12">
        <v>134.1141829490536</v>
      </c>
      <c r="D692" s="11">
        <v>0</v>
      </c>
      <c r="E692" s="13">
        <v>8.611111111111111E-2</v>
      </c>
      <c r="F692" s="1" t="str">
        <v>EUR</v>
      </c>
      <c r="G692" s="11">
        <v>0</v>
      </c>
      <c r="H692" s="11">
        <v>0</v>
      </c>
      <c r="I692" s="1">
        <v>0</v>
      </c>
    </row>
    <row r="693" spans="1:9" ht="24" customHeight="1" x14ac:dyDescent="0.25">
      <c r="A693" s="1" t="str">
        <v>2054-09-24</v>
      </c>
      <c r="B693" s="1" t="str">
        <v>Redemption</v>
      </c>
      <c r="C693" s="12">
        <v>1378.4986605962513</v>
      </c>
      <c r="D693" s="11">
        <v>0</v>
      </c>
      <c r="E693" s="13">
        <v>0</v>
      </c>
      <c r="F693" s="1" t="str">
        <v>EUR</v>
      </c>
      <c r="G693" s="11">
        <v>0</v>
      </c>
      <c r="H693" s="11">
        <v>0</v>
      </c>
      <c r="I693" s="1">
        <v>0</v>
      </c>
    </row>
    <row r="694" spans="1:9" ht="24" customHeight="1" x14ac:dyDescent="0.25">
      <c r="A694" s="1" t="str">
        <v>2054-10-24</v>
      </c>
      <c r="B694" s="1" t="str">
        <v>FixedRateCoupon</v>
      </c>
      <c r="C694" s="12">
        <v>122.89542567997384</v>
      </c>
      <c r="D694" s="11">
        <v>0</v>
      </c>
      <c r="E694" s="13">
        <v>8.3333333333333329E-2</v>
      </c>
      <c r="F694" s="1" t="str">
        <v>EUR</v>
      </c>
      <c r="G694" s="11">
        <v>0</v>
      </c>
      <c r="H694" s="11">
        <v>0</v>
      </c>
      <c r="I694" s="1">
        <v>0</v>
      </c>
    </row>
    <row r="695" spans="1:9" ht="24" customHeight="1" x14ac:dyDescent="0.25">
      <c r="A695" s="1" t="str">
        <v>2054-10-24</v>
      </c>
      <c r="B695" s="1" t="str">
        <v>Redemption</v>
      </c>
      <c r="C695" s="12">
        <v>1389.7174178653368</v>
      </c>
      <c r="D695" s="11">
        <v>0</v>
      </c>
      <c r="E695" s="13">
        <v>0</v>
      </c>
      <c r="F695" s="1" t="str">
        <v>EUR</v>
      </c>
      <c r="G695" s="11">
        <v>0</v>
      </c>
      <c r="H695" s="11">
        <v>0</v>
      </c>
      <c r="I695" s="1">
        <v>0</v>
      </c>
    </row>
    <row r="696" spans="1:9" ht="24" customHeight="1" x14ac:dyDescent="0.25">
      <c r="A696" s="1" t="str">
        <v>2054-11-24</v>
      </c>
      <c r="B696" s="1" t="str">
        <v>FixedRateCoupon</v>
      </c>
      <c r="C696" s="12">
        <v>119.81173321033539</v>
      </c>
      <c r="D696" s="11">
        <v>0</v>
      </c>
      <c r="E696" s="13">
        <v>8.611111111111111E-2</v>
      </c>
      <c r="F696" s="1" t="str">
        <v>EUR</v>
      </c>
      <c r="G696" s="11">
        <v>0</v>
      </c>
      <c r="H696" s="11">
        <v>0</v>
      </c>
      <c r="I696" s="1">
        <v>0</v>
      </c>
    </row>
    <row r="697" spans="1:9" ht="24" customHeight="1" x14ac:dyDescent="0.25">
      <c r="A697" s="1" t="str">
        <v>2054-11-24</v>
      </c>
      <c r="B697" s="1" t="str">
        <v>Redemption</v>
      </c>
      <c r="C697" s="12">
        <v>1392.8011103349672</v>
      </c>
      <c r="D697" s="11">
        <v>0</v>
      </c>
      <c r="E697" s="13">
        <v>0</v>
      </c>
      <c r="F697" s="1" t="str">
        <v>EUR</v>
      </c>
      <c r="G697" s="11">
        <v>0</v>
      </c>
      <c r="H697" s="11">
        <v>0</v>
      </c>
      <c r="I697" s="1">
        <v>0</v>
      </c>
    </row>
    <row r="698" spans="1:9" ht="24" customHeight="1" x14ac:dyDescent="0.25">
      <c r="A698" s="1" t="str">
        <v>2054-12-24</v>
      </c>
      <c r="B698" s="1" t="str">
        <v>FixedRateCoupon</v>
      </c>
      <c r="C698" s="12">
        <v>108.98283303897232</v>
      </c>
      <c r="D698" s="11">
        <v>0</v>
      </c>
      <c r="E698" s="13">
        <v>8.3333333333333329E-2</v>
      </c>
      <c r="F698" s="1" t="str">
        <v>EUR</v>
      </c>
      <c r="G698" s="11">
        <v>0</v>
      </c>
      <c r="H698" s="11">
        <v>0</v>
      </c>
      <c r="I698" s="1">
        <v>0</v>
      </c>
    </row>
    <row r="699" spans="1:9" ht="24" customHeight="1" x14ac:dyDescent="0.25">
      <c r="A699" s="1" t="str">
        <v>2054-12-24</v>
      </c>
      <c r="B699" s="1" t="str">
        <v>Redemption</v>
      </c>
      <c r="C699" s="12">
        <v>1403.6300105063347</v>
      </c>
      <c r="D699" s="11">
        <v>0</v>
      </c>
      <c r="E699" s="13">
        <v>0</v>
      </c>
      <c r="F699" s="1" t="str">
        <v>EUR</v>
      </c>
      <c r="G699" s="11">
        <v>0</v>
      </c>
      <c r="H699" s="11">
        <v>0</v>
      </c>
      <c r="I699" s="1">
        <v>0</v>
      </c>
    </row>
    <row r="700" spans="1:9" ht="24" customHeight="1" x14ac:dyDescent="0.25">
      <c r="A700" s="1" t="str">
        <v>2055-01-24</v>
      </c>
      <c r="B700" s="1" t="str">
        <v>FixedRateCoupon</v>
      </c>
      <c r="C700" s="12">
        <v>105.36350575265534</v>
      </c>
      <c r="D700" s="11">
        <v>0</v>
      </c>
      <c r="E700" s="13">
        <v>8.611111111111111E-2</v>
      </c>
      <c r="F700" s="1" t="str">
        <v>EUR</v>
      </c>
      <c r="G700" s="11">
        <v>0</v>
      </c>
      <c r="H700" s="11">
        <v>0</v>
      </c>
      <c r="I700" s="1">
        <v>0</v>
      </c>
    </row>
    <row r="701" spans="1:9" ht="24" customHeight="1" x14ac:dyDescent="0.25">
      <c r="A701" s="1" t="str">
        <v>2055-01-24</v>
      </c>
      <c r="B701" s="1" t="str">
        <v>Redemption</v>
      </c>
      <c r="C701" s="12">
        <v>1407.2493377926476</v>
      </c>
      <c r="D701" s="11">
        <v>0</v>
      </c>
      <c r="E701" s="13">
        <v>0</v>
      </c>
      <c r="F701" s="1" t="str">
        <v>EUR</v>
      </c>
      <c r="G701" s="11">
        <v>0</v>
      </c>
      <c r="H701" s="11">
        <v>0</v>
      </c>
      <c r="I701" s="1">
        <v>0</v>
      </c>
    </row>
    <row r="702" spans="1:9" ht="24" customHeight="1" x14ac:dyDescent="0.25">
      <c r="A702" s="1" t="str">
        <v>2055-02-24</v>
      </c>
      <c r="B702" s="1" t="str">
        <v>FixedRateCoupon</v>
      </c>
      <c r="C702" s="12">
        <v>98.092717507393331</v>
      </c>
      <c r="D702" s="11">
        <v>0</v>
      </c>
      <c r="E702" s="13">
        <v>8.611111111111111E-2</v>
      </c>
      <c r="F702" s="1" t="str">
        <v>EUR</v>
      </c>
      <c r="G702" s="11">
        <v>0</v>
      </c>
      <c r="H702" s="11">
        <v>0</v>
      </c>
      <c r="I702" s="1">
        <v>0</v>
      </c>
    </row>
    <row r="703" spans="1:9" ht="24" customHeight="1" x14ac:dyDescent="0.25">
      <c r="A703" s="1" t="str">
        <v>2055-02-24</v>
      </c>
      <c r="B703" s="1" t="str">
        <v>Redemption</v>
      </c>
      <c r="C703" s="12">
        <v>1414.5201260379108</v>
      </c>
      <c r="D703" s="11">
        <v>0</v>
      </c>
      <c r="E703" s="13">
        <v>0</v>
      </c>
      <c r="F703" s="1" t="str">
        <v>EUR</v>
      </c>
      <c r="G703" s="11">
        <v>0</v>
      </c>
      <c r="H703" s="11">
        <v>0</v>
      </c>
      <c r="I703" s="1">
        <v>0</v>
      </c>
    </row>
    <row r="704" spans="1:9" ht="24" customHeight="1" x14ac:dyDescent="0.25">
      <c r="A704" s="1" t="str">
        <v>2055-03-24</v>
      </c>
      <c r="B704" s="1" t="str">
        <v>FixedRateCoupon</v>
      </c>
      <c r="C704" s="12">
        <v>81.998779956135337</v>
      </c>
      <c r="D704" s="11">
        <v>0</v>
      </c>
      <c r="E704" s="13">
        <v>7.7777777777777779E-2</v>
      </c>
      <c r="F704" s="1" t="str">
        <v>EUR</v>
      </c>
      <c r="G704" s="11">
        <v>0</v>
      </c>
      <c r="H704" s="11">
        <v>0</v>
      </c>
      <c r="I704" s="1">
        <v>0</v>
      </c>
    </row>
    <row r="705" spans="1:9" ht="24" customHeight="1" x14ac:dyDescent="0.25">
      <c r="A705" s="1" t="str">
        <v>2055-03-24</v>
      </c>
      <c r="B705" s="1" t="str">
        <v>Redemption</v>
      </c>
      <c r="C705" s="12">
        <v>1430.6140635891716</v>
      </c>
      <c r="D705" s="11">
        <v>0</v>
      </c>
      <c r="E705" s="13">
        <v>0</v>
      </c>
      <c r="F705" s="1" t="str">
        <v>EUR</v>
      </c>
      <c r="G705" s="11">
        <v>0</v>
      </c>
      <c r="H705" s="11">
        <v>0</v>
      </c>
      <c r="I705" s="1">
        <v>0</v>
      </c>
    </row>
    <row r="706" spans="1:9" ht="24" customHeight="1" x14ac:dyDescent="0.25">
      <c r="A706" s="1" t="str">
        <v>2055-04-24</v>
      </c>
      <c r="B706" s="1" t="str">
        <v>FixedRateCoupon</v>
      </c>
      <c r="C706" s="12">
        <v>83.392857527653405</v>
      </c>
      <c r="D706" s="11">
        <v>0</v>
      </c>
      <c r="E706" s="13">
        <v>8.611111111111111E-2</v>
      </c>
      <c r="F706" s="1" t="str">
        <v>EUR</v>
      </c>
      <c r="G706" s="11">
        <v>0</v>
      </c>
      <c r="H706" s="11">
        <v>0</v>
      </c>
      <c r="I706" s="1">
        <v>0</v>
      </c>
    </row>
    <row r="707" spans="1:9" ht="24" customHeight="1" x14ac:dyDescent="0.25">
      <c r="A707" s="1" t="str">
        <v>2055-04-24</v>
      </c>
      <c r="B707" s="1" t="str">
        <v>Redemption</v>
      </c>
      <c r="C707" s="12">
        <v>1429.2199860176515</v>
      </c>
      <c r="D707" s="11">
        <v>0</v>
      </c>
      <c r="E707" s="13">
        <v>0</v>
      </c>
      <c r="F707" s="1" t="str">
        <v>EUR</v>
      </c>
      <c r="G707" s="11">
        <v>0</v>
      </c>
      <c r="H707" s="11">
        <v>0</v>
      </c>
      <c r="I707" s="1">
        <v>0</v>
      </c>
    </row>
    <row r="708" spans="1:9" ht="24" customHeight="1" x14ac:dyDescent="0.25">
      <c r="A708" s="1" t="str">
        <v>2055-05-24</v>
      </c>
      <c r="B708" s="1" t="str">
        <v>FixedRateCoupon</v>
      </c>
      <c r="C708" s="12">
        <v>73.556665419253733</v>
      </c>
      <c r="D708" s="11">
        <v>0</v>
      </c>
      <c r="E708" s="13">
        <v>8.3333333333333329E-2</v>
      </c>
      <c r="F708" s="1" t="str">
        <v>EUR</v>
      </c>
      <c r="G708" s="11">
        <v>0</v>
      </c>
      <c r="H708" s="11">
        <v>0</v>
      </c>
      <c r="I708" s="1">
        <v>0</v>
      </c>
    </row>
    <row r="709" spans="1:9" ht="24" customHeight="1" x14ac:dyDescent="0.25">
      <c r="A709" s="1" t="str">
        <v>2055-05-24</v>
      </c>
      <c r="B709" s="1" t="str">
        <v>Redemption</v>
      </c>
      <c r="C709" s="12">
        <v>1439.0561781260549</v>
      </c>
      <c r="D709" s="11">
        <v>0</v>
      </c>
      <c r="E709" s="13">
        <v>0</v>
      </c>
      <c r="F709" s="1" t="str">
        <v>EUR</v>
      </c>
      <c r="G709" s="11">
        <v>0</v>
      </c>
      <c r="H709" s="11">
        <v>0</v>
      </c>
      <c r="I709" s="1">
        <v>0</v>
      </c>
    </row>
    <row r="710" spans="1:9" ht="24" customHeight="1" x14ac:dyDescent="0.25">
      <c r="A710" s="1" t="str">
        <v>2055-06-24</v>
      </c>
      <c r="B710" s="1" t="str">
        <v>FixedRateCoupon</v>
      </c>
      <c r="C710" s="12">
        <v>68.573430679577584</v>
      </c>
      <c r="D710" s="11">
        <v>0</v>
      </c>
      <c r="E710" s="13">
        <v>8.611111111111111E-2</v>
      </c>
      <c r="F710" s="1" t="str">
        <v>EUR</v>
      </c>
      <c r="G710" s="11">
        <v>0</v>
      </c>
      <c r="H710" s="11">
        <v>0</v>
      </c>
      <c r="I710" s="1">
        <v>0</v>
      </c>
    </row>
    <row r="711" spans="1:9" ht="24" customHeight="1" x14ac:dyDescent="0.25">
      <c r="A711" s="1" t="str">
        <v>2055-06-24</v>
      </c>
      <c r="B711" s="1" t="str">
        <v>Redemption</v>
      </c>
      <c r="C711" s="12">
        <v>1444.0394128657281</v>
      </c>
      <c r="D711" s="11">
        <v>0</v>
      </c>
      <c r="E711" s="13">
        <v>0</v>
      </c>
      <c r="F711" s="1" t="str">
        <v>EUR</v>
      </c>
      <c r="G711" s="11">
        <v>0</v>
      </c>
      <c r="H711" s="11">
        <v>0</v>
      </c>
      <c r="I711" s="1">
        <v>0</v>
      </c>
    </row>
    <row r="712" spans="1:9" ht="24" customHeight="1" x14ac:dyDescent="0.25">
      <c r="A712" s="1" t="str">
        <v>2055-07-24</v>
      </c>
      <c r="B712" s="1" t="str">
        <v>FixedRateCoupon</v>
      </c>
      <c r="C712" s="12">
        <v>59.141187464294831</v>
      </c>
      <c r="D712" s="11">
        <v>0</v>
      </c>
      <c r="E712" s="13">
        <v>8.3333333333333329E-2</v>
      </c>
      <c r="F712" s="1" t="str">
        <v>EUR</v>
      </c>
      <c r="G712" s="11">
        <v>0</v>
      </c>
      <c r="H712" s="11">
        <v>0</v>
      </c>
      <c r="I712" s="1">
        <v>0</v>
      </c>
    </row>
    <row r="713" spans="1:9" ht="24" customHeight="1" x14ac:dyDescent="0.25">
      <c r="A713" s="1" t="str">
        <v>2055-07-24</v>
      </c>
      <c r="B713" s="1" t="str">
        <v>Redemption</v>
      </c>
      <c r="C713" s="12">
        <v>1453.471656081012</v>
      </c>
      <c r="D713" s="11">
        <v>0</v>
      </c>
      <c r="E713" s="13">
        <v>0</v>
      </c>
      <c r="F713" s="1" t="str">
        <v>EUR</v>
      </c>
      <c r="G713" s="11">
        <v>0</v>
      </c>
      <c r="H713" s="11">
        <v>0</v>
      </c>
      <c r="I713" s="1">
        <v>0</v>
      </c>
    </row>
    <row r="714" spans="1:9" ht="24" customHeight="1" x14ac:dyDescent="0.25">
      <c r="A714" s="1" t="str">
        <v>2055-08-24</v>
      </c>
      <c r="B714" s="1" t="str">
        <v>FixedRateCoupon</v>
      </c>
      <c r="C714" s="12">
        <v>53.602956823352763</v>
      </c>
      <c r="D714" s="11">
        <v>0</v>
      </c>
      <c r="E714" s="13">
        <v>8.611111111111111E-2</v>
      </c>
      <c r="F714" s="1" t="str">
        <v>EUR</v>
      </c>
      <c r="G714" s="11">
        <v>0</v>
      </c>
      <c r="H714" s="11">
        <v>0</v>
      </c>
      <c r="I714" s="1">
        <v>0</v>
      </c>
    </row>
    <row r="715" spans="1:9" ht="24" customHeight="1" x14ac:dyDescent="0.25">
      <c r="A715" s="1" t="str">
        <v>2055-08-24</v>
      </c>
      <c r="B715" s="1" t="str">
        <v>Redemption</v>
      </c>
      <c r="C715" s="12">
        <v>1459.0098867219531</v>
      </c>
      <c r="D715" s="11">
        <v>0</v>
      </c>
      <c r="E715" s="13">
        <v>0</v>
      </c>
      <c r="F715" s="1" t="str">
        <v>EUR</v>
      </c>
      <c r="G715" s="11">
        <v>0</v>
      </c>
      <c r="H715" s="11">
        <v>0</v>
      </c>
      <c r="I715" s="1">
        <v>0</v>
      </c>
    </row>
    <row r="716" spans="1:9" ht="24" customHeight="1" x14ac:dyDescent="0.25">
      <c r="A716" s="1" t="str">
        <v>2055-09-24</v>
      </c>
      <c r="B716" s="1" t="str">
        <v>FixedRateCoupon</v>
      </c>
      <c r="C716" s="12">
        <v>46.064739075289346</v>
      </c>
      <c r="D716" s="11">
        <v>0</v>
      </c>
      <c r="E716" s="13">
        <v>8.611111111111111E-2</v>
      </c>
      <c r="F716" s="1" t="str">
        <v>EUR</v>
      </c>
      <c r="G716" s="11">
        <v>0</v>
      </c>
      <c r="H716" s="11">
        <v>0</v>
      </c>
      <c r="I716" s="1">
        <v>0</v>
      </c>
    </row>
    <row r="717" spans="1:9" ht="24" customHeight="1" x14ac:dyDescent="0.25">
      <c r="A717" s="1" t="str">
        <v>2055-09-24</v>
      </c>
      <c r="B717" s="1" t="str">
        <v>Redemption</v>
      </c>
      <c r="C717" s="12">
        <v>1466.5481044700164</v>
      </c>
      <c r="D717" s="11">
        <v>0</v>
      </c>
      <c r="E717" s="13">
        <v>0</v>
      </c>
      <c r="F717" s="1" t="str">
        <v>EUR</v>
      </c>
      <c r="G717" s="11">
        <v>0</v>
      </c>
      <c r="H717" s="11">
        <v>0</v>
      </c>
      <c r="I717" s="1">
        <v>0</v>
      </c>
    </row>
    <row r="718" spans="1:9" ht="24" customHeight="1" x14ac:dyDescent="0.25">
      <c r="A718" s="1" t="str">
        <v>2055-10-24</v>
      </c>
      <c r="B718" s="1" t="str">
        <v>FixedRateCoupon</v>
      </c>
      <c r="C718" s="12">
        <v>37.246039227929927</v>
      </c>
      <c r="D718" s="11">
        <v>0</v>
      </c>
      <c r="E718" s="13">
        <v>8.3333333333333329E-2</v>
      </c>
      <c r="F718" s="1" t="str">
        <v>EUR</v>
      </c>
      <c r="G718" s="11">
        <v>0</v>
      </c>
      <c r="H718" s="11">
        <v>0</v>
      </c>
      <c r="I718" s="1">
        <v>0</v>
      </c>
    </row>
    <row r="719" spans="1:9" ht="24" customHeight="1" x14ac:dyDescent="0.25">
      <c r="A719" s="1" t="str">
        <v>2055-10-24</v>
      </c>
      <c r="B719" s="1" t="str">
        <v>Redemption</v>
      </c>
      <c r="C719" s="12">
        <v>1475.3668043173775</v>
      </c>
      <c r="D719" s="11">
        <v>0</v>
      </c>
      <c r="E719" s="13">
        <v>0</v>
      </c>
      <c r="F719" s="1" t="str">
        <v>EUR</v>
      </c>
      <c r="G719" s="11">
        <v>0</v>
      </c>
      <c r="H719" s="11">
        <v>0</v>
      </c>
      <c r="I719" s="1">
        <v>0</v>
      </c>
    </row>
    <row r="720" spans="1:9" ht="24" customHeight="1" x14ac:dyDescent="0.25">
      <c r="A720" s="1" t="str">
        <v>2055-11-24</v>
      </c>
      <c r="B720" s="1" t="str">
        <v>FixedRateCoupon</v>
      </c>
      <c r="C720" s="12">
        <v>30.864845379887811</v>
      </c>
      <c r="D720" s="11">
        <v>0</v>
      </c>
      <c r="E720" s="13">
        <v>8.611111111111111E-2</v>
      </c>
      <c r="F720" s="1" t="str">
        <v>EUR</v>
      </c>
      <c r="G720" s="11">
        <v>0</v>
      </c>
      <c r="H720" s="11">
        <v>0</v>
      </c>
      <c r="I720" s="1">
        <v>0</v>
      </c>
    </row>
    <row r="721" spans="1:9" ht="24" customHeight="1" x14ac:dyDescent="0.25">
      <c r="A721" s="1" t="str">
        <v>2055-11-24</v>
      </c>
      <c r="B721" s="1" t="str">
        <v>Redemption</v>
      </c>
      <c r="C721" s="12">
        <v>1481.7479981654178</v>
      </c>
      <c r="D721" s="11">
        <v>0</v>
      </c>
      <c r="E721" s="13">
        <v>0</v>
      </c>
      <c r="F721" s="1" t="str">
        <v>EUR</v>
      </c>
      <c r="G721" s="11">
        <v>0</v>
      </c>
      <c r="H721" s="11">
        <v>0</v>
      </c>
      <c r="I721" s="1">
        <v>0</v>
      </c>
    </row>
    <row r="722" spans="1:9" ht="24" customHeight="1" x14ac:dyDescent="0.25">
      <c r="A722" s="1" t="str">
        <v>2055-12-24</v>
      </c>
      <c r="B722" s="1" t="str">
        <v>FixedRateCoupon</v>
      </c>
      <c r="C722" s="12">
        <v>22.460465215515949</v>
      </c>
      <c r="D722" s="11">
        <v>0</v>
      </c>
      <c r="E722" s="13">
        <v>8.3333333333333329E-2</v>
      </c>
      <c r="F722" s="1" t="str">
        <v>EUR</v>
      </c>
      <c r="G722" s="11">
        <v>0</v>
      </c>
      <c r="H722" s="11">
        <v>0</v>
      </c>
      <c r="I722" s="1">
        <v>0</v>
      </c>
    </row>
    <row r="723" spans="1:9" ht="24" customHeight="1" x14ac:dyDescent="0.25">
      <c r="A723" s="1" t="str">
        <v>2055-12-24</v>
      </c>
      <c r="B723" s="1" t="str">
        <v>Redemption</v>
      </c>
      <c r="C723" s="12">
        <v>1490.1523783297907</v>
      </c>
      <c r="D723" s="11">
        <v>0</v>
      </c>
      <c r="E723" s="13">
        <v>0</v>
      </c>
      <c r="F723" s="1" t="str">
        <v>EUR</v>
      </c>
      <c r="G723" s="11">
        <v>0</v>
      </c>
      <c r="H723" s="11">
        <v>0</v>
      </c>
      <c r="I723" s="1">
        <v>0</v>
      </c>
    </row>
    <row r="724" spans="1:9" ht="24" customHeight="1" x14ac:dyDescent="0.25">
      <c r="A724" s="1" t="str">
        <v>2056-01-24</v>
      </c>
      <c r="B724" s="1" t="str">
        <v>FixedRateCoupon</v>
      </c>
      <c r="C724" s="12">
        <v>15.510026767995898</v>
      </c>
      <c r="D724" s="11">
        <v>0</v>
      </c>
      <c r="E724" s="13">
        <v>8.611111111111111E-2</v>
      </c>
      <c r="F724" s="1" t="str">
        <v>EUR</v>
      </c>
      <c r="G724" s="11">
        <v>0</v>
      </c>
      <c r="H724" s="11">
        <v>0</v>
      </c>
      <c r="I724" s="1">
        <v>0</v>
      </c>
    </row>
    <row r="725" spans="1:9" ht="24" customHeight="1" x14ac:dyDescent="0.25">
      <c r="A725" s="1" t="str">
        <v>2056-01-24</v>
      </c>
      <c r="B725" s="1" t="str">
        <v>Redemption</v>
      </c>
      <c r="C725" s="12">
        <v>1497.1028167773102</v>
      </c>
      <c r="D725" s="11">
        <v>0</v>
      </c>
      <c r="E725" s="13">
        <v>0</v>
      </c>
      <c r="F725" s="1" t="str">
        <v>EUR</v>
      </c>
      <c r="G725" s="11">
        <v>0</v>
      </c>
      <c r="H725" s="11">
        <v>0</v>
      </c>
      <c r="I725" s="1">
        <v>0</v>
      </c>
    </row>
    <row r="726" spans="1:9" ht="24" customHeight="1" x14ac:dyDescent="0.25">
      <c r="A726" s="1" t="str">
        <v>2056-02-24</v>
      </c>
      <c r="B726" s="1" t="str">
        <v>FixedRateCoupon</v>
      </c>
      <c r="C726" s="12">
        <v>7.7749955479797945</v>
      </c>
      <c r="D726" s="11">
        <v>0</v>
      </c>
      <c r="E726" s="13">
        <v>8.611111111111111E-2</v>
      </c>
      <c r="F726" s="1" t="str">
        <v>EUR</v>
      </c>
      <c r="G726" s="11">
        <v>0</v>
      </c>
      <c r="H726" s="11">
        <v>0</v>
      </c>
      <c r="I726" s="1">
        <v>0</v>
      </c>
    </row>
    <row r="727" spans="1:9" ht="24" customHeight="1" x14ac:dyDescent="0.25">
      <c r="A727" s="1" t="str">
        <v>2056-02-24</v>
      </c>
      <c r="B727" s="1" t="str">
        <v>Redemption</v>
      </c>
      <c r="C727" s="12">
        <v>1504.8378479960893</v>
      </c>
      <c r="D727" s="11">
        <v>0</v>
      </c>
      <c r="E727" s="13">
        <v>0</v>
      </c>
      <c r="F727" s="1" t="str">
        <v>EUR</v>
      </c>
      <c r="G727" s="11">
        <v>0</v>
      </c>
      <c r="H727" s="11">
        <v>0</v>
      </c>
      <c r="I727" s="1">
        <v>0</v>
      </c>
    </row>
  </sheetData>
  <mergeCells count="2">
    <mergeCell ref="A1:I1"/>
    <mergeCell ref="A2:I3"/>
  </mergeCells>
  <hyperlinks>
    <hyperlink ref="A4" location="'Start Here'!A1" display="← Start Here" xr:uid="{00000000-0004-0000-0600-000000000000}"/>
    <hyperlink ref="I4" location="'7 Risk'!A1" display="Next → 7 Risk" xr:uid="{00000000-0004-0000-0600-000001000000}"/>
    <hyperlink ref="C6" location="'5 Results'!B22" display="Change case →" xr:uid="{00000000-0004-0000-0600-000002000000}"/>
  </hyperlinks>
  <pageMargins left="0.3" right="0.3" top="0.4" bottom="0.4" header="0.3" footer="0.3"/>
  <pageSetup paperSize="9" fitToHeight="0" orientation="landscape"/>
  <headerFooter>
    <oddFooter>&amp;LQuantSupport&amp;CSelected loan · expected receipts&amp;R&amp;P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8909C"/>
    <pageSetUpPr fitToPage="1"/>
  </sheetPr>
  <dimension ref="A1:C12"/>
  <sheetViews>
    <sheetView showGridLines="0" zoomScale="85" zoomScaleNormal="85" workbookViewId="0">
      <pane xSplit="1" ySplit="7" topLeftCell="B8" activePane="bottomRight" state="frozen"/>
      <selection pane="topRight" activeCell="B1" sqref="B1"/>
      <selection pane="bottomLeft" activeCell="A8" sqref="A8"/>
      <selection pane="bottomRight"/>
    </sheetView>
  </sheetViews>
  <sheetFormatPr baseColWidth="10" defaultColWidth="9.140625" defaultRowHeight="24" customHeight="1" x14ac:dyDescent="0.25"/>
  <cols>
    <col min="1" max="1" width="62.7109375" style="1" customWidth="1"/>
    <col min="2" max="2" width="24.7109375" style="12" customWidth="1"/>
    <col min="3" max="3" width="24.7109375" style="1" customWidth="1"/>
  </cols>
  <sheetData>
    <row r="1" spans="1:3" ht="38.1" customHeight="1" x14ac:dyDescent="0.25">
      <c r="A1" s="16" t="s">
        <v>241</v>
      </c>
      <c r="B1" s="16"/>
      <c r="C1" s="16"/>
    </row>
    <row r="2" spans="1:3" ht="24" customHeight="1" x14ac:dyDescent="0.25">
      <c r="A2" s="17" t="s">
        <v>242</v>
      </c>
      <c r="B2" s="17"/>
      <c r="C2" s="17"/>
    </row>
    <row r="3" spans="1:3" ht="24" customHeight="1" x14ac:dyDescent="0.25">
      <c r="A3" s="17"/>
      <c r="B3" s="17"/>
      <c r="C3" s="17"/>
    </row>
    <row r="4" spans="1:3" ht="36" customHeight="1" x14ac:dyDescent="0.25">
      <c r="A4" s="4" t="s">
        <v>42</v>
      </c>
      <c r="C4" s="4" t="s">
        <v>243</v>
      </c>
    </row>
    <row r="6" spans="1:3" ht="24" customHeight="1" x14ac:dyDescent="0.25">
      <c r="A6" s="1" t="s">
        <v>239</v>
      </c>
      <c r="B6" s="7" t="str">
        <f>Loan_SelectedCase</f>
        <v>French</v>
      </c>
      <c r="C6" s="4" t="s">
        <v>240</v>
      </c>
    </row>
    <row r="7" spans="1:3" ht="24" customHeight="1" x14ac:dyDescent="0.25">
      <c r="A7" s="1" t="str" cm="1">
        <f t="array" ref="A7:B12">_xll.QS.RESULT.SENSITIVITIES(Loan_SelectedResult)</f>
        <v>Risk factor</v>
      </c>
      <c r="B7" s="12" t="str">
        <v>Sensitivity</v>
      </c>
    </row>
    <row r="8" spans="1:3" ht="24" customHeight="1" x14ac:dyDescent="0.25">
      <c r="A8" s="1" t="str">
        <v>ESTR_2026-02-24</v>
      </c>
      <c r="B8" s="12">
        <v>-71093.334968588941</v>
      </c>
    </row>
    <row r="9" spans="1:3" ht="24" customHeight="1" x14ac:dyDescent="0.25">
      <c r="A9" s="1" t="str">
        <v>ESTR_2031-02-24</v>
      </c>
      <c r="B9" s="12">
        <v>-384651.62316977384</v>
      </c>
    </row>
    <row r="10" spans="1:3" ht="24" customHeight="1" x14ac:dyDescent="0.25">
      <c r="A10" s="1" t="str">
        <v>ESTR_2036-02-24</v>
      </c>
      <c r="B10" s="12">
        <v>-1999382.1745089437</v>
      </c>
    </row>
    <row r="11" spans="1:3" ht="24" customHeight="1" x14ac:dyDescent="0.25">
      <c r="A11" s="1" t="str">
        <v>ESTR_2056-02-24</v>
      </c>
      <c r="B11" s="12">
        <v>-1913671.5146627836</v>
      </c>
    </row>
    <row r="12" spans="1:3" ht="24" customHeight="1" x14ac:dyDescent="0.25">
      <c r="A12" s="1" t="str">
        <v>ESTR_2061-02-24</v>
      </c>
      <c r="B12" s="12">
        <v>0</v>
      </c>
    </row>
  </sheetData>
  <mergeCells count="2">
    <mergeCell ref="A1:C1"/>
    <mergeCell ref="A2:C3"/>
  </mergeCells>
  <hyperlinks>
    <hyperlink ref="A4" location="'Start Here'!A1" display="← Start Here" xr:uid="{00000000-0004-0000-0700-000000000000}"/>
    <hyperlink ref="C4" location="'8 Layouts'!A1" display="Next → 8 Layouts" xr:uid="{00000000-0004-0000-0700-000001000000}"/>
    <hyperlink ref="C6" location="'5 Results'!B22" display="Change case →" xr:uid="{00000000-0004-0000-0700-000002000000}"/>
  </hyperlinks>
  <pageMargins left="0.3" right="0.3" top="0.4" bottom="0.4" header="0.3" footer="0.3"/>
  <pageSetup paperSize="9" fitToHeight="0" orientation="landscape"/>
  <headerFooter>
    <oddFooter>&amp;LQuantSupport&amp;CSelected loan · market risk&amp;R&amp;P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8909C"/>
    <pageSetUpPr fitToPage="1"/>
  </sheetPr>
  <dimension ref="A1:F41"/>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baseColWidth="10" defaultColWidth="9.140625" defaultRowHeight="24" customHeight="1" x14ac:dyDescent="0.25"/>
  <cols>
    <col min="1" max="1" width="28.7109375" style="1" customWidth="1"/>
    <col min="2" max="2" width="18.7109375" style="1" customWidth="1"/>
    <col min="3" max="4" width="20.7109375" style="1" customWidth="1"/>
    <col min="5" max="6" width="24.7109375" style="1" customWidth="1"/>
  </cols>
  <sheetData>
    <row r="1" spans="1:6" ht="38.1" customHeight="1" x14ac:dyDescent="0.25">
      <c r="A1" s="16" t="s">
        <v>244</v>
      </c>
      <c r="B1" s="16"/>
      <c r="C1" s="16"/>
      <c r="D1" s="16"/>
      <c r="E1" s="16"/>
      <c r="F1" s="16"/>
    </row>
    <row r="2" spans="1:6" ht="24" customHeight="1" x14ac:dyDescent="0.25">
      <c r="A2" s="17" t="s">
        <v>245</v>
      </c>
      <c r="B2" s="17"/>
      <c r="C2" s="17"/>
      <c r="D2" s="17"/>
      <c r="E2" s="17"/>
      <c r="F2" s="17"/>
    </row>
    <row r="3" spans="1:6" ht="24" customHeight="1" x14ac:dyDescent="0.25">
      <c r="A3" s="17"/>
      <c r="B3" s="17"/>
      <c r="C3" s="17"/>
      <c r="D3" s="17"/>
      <c r="E3" s="17"/>
      <c r="F3" s="17"/>
    </row>
    <row r="4" spans="1:6" ht="24" customHeight="1" x14ac:dyDescent="0.25">
      <c r="A4" s="4" t="s">
        <v>42</v>
      </c>
    </row>
    <row r="6" spans="1:6" ht="24" customHeight="1" x14ac:dyDescent="0.25">
      <c r="A6" s="15" t="s">
        <v>246</v>
      </c>
      <c r="B6" s="15"/>
      <c r="C6" s="15"/>
      <c r="D6" s="15"/>
      <c r="E6" s="15"/>
      <c r="F6" s="15"/>
    </row>
    <row r="7" spans="1:6" ht="24" customHeight="1" x14ac:dyDescent="0.25">
      <c r="A7" s="1" t="str" cm="1">
        <f t="array" ref="A7:E12">_xll.QS.CURVE.TABLE(Loan_EstrCurve,"Simple","Annual",FALSE,TRUE)</f>
        <v>Pillar</v>
      </c>
      <c r="B7" s="1" t="str">
        <v>Date</v>
      </c>
      <c r="C7" s="1" t="str">
        <v>Discount factor</v>
      </c>
      <c r="D7" s="1" t="str">
        <v>Zero rate</v>
      </c>
      <c r="E7" s="1" t="str">
        <v>Forward from prior node</v>
      </c>
    </row>
    <row r="8" spans="1:6" ht="24" customHeight="1" x14ac:dyDescent="0.25">
      <c r="A8" s="1" t="str">
        <v>Reference</v>
      </c>
      <c r="B8" s="1" t="str">
        <v>2026-02-24</v>
      </c>
      <c r="C8" s="1">
        <v>1</v>
      </c>
      <c r="D8" s="1">
        <v>0</v>
      </c>
      <c r="E8" s="1">
        <v>0</v>
      </c>
    </row>
    <row r="9" spans="1:6" ht="24" customHeight="1" x14ac:dyDescent="0.25">
      <c r="A9" s="1" t="str">
        <v>ESTR_2026-02-24</v>
      </c>
      <c r="B9" s="1" t="str">
        <v>2031-02-24</v>
      </c>
      <c r="C9" s="1">
        <v>0.85884512795739665</v>
      </c>
      <c r="D9" s="1">
        <v>3.240281519762922E-2</v>
      </c>
      <c r="E9" s="1">
        <v>3.240281519762922E-2</v>
      </c>
    </row>
    <row r="10" spans="1:6" ht="24" customHeight="1" x14ac:dyDescent="0.25">
      <c r="A10" s="1" t="str">
        <v>ESTR_2031-02-24</v>
      </c>
      <c r="B10" s="1" t="str">
        <v>2036-02-24</v>
      </c>
      <c r="C10" s="1">
        <v>0.72280035998473258</v>
      </c>
      <c r="D10" s="1">
        <v>3.7804720683173559E-2</v>
      </c>
      <c r="E10" s="1">
        <v>3.7107800380479943E-2</v>
      </c>
    </row>
    <row r="11" spans="1:6" ht="24" customHeight="1" x14ac:dyDescent="0.25">
      <c r="A11" s="1" t="str">
        <v>ESTR_2036-02-24</v>
      </c>
      <c r="B11" s="1" t="str">
        <v>2056-02-24</v>
      </c>
      <c r="C11" s="1">
        <v>0.35528756407006368</v>
      </c>
      <c r="D11" s="1">
        <v>5.9620673840168947E-2</v>
      </c>
      <c r="E11" s="1">
        <v>5.0977054611452938E-2</v>
      </c>
    </row>
    <row r="12" spans="1:6" ht="24" customHeight="1" x14ac:dyDescent="0.25">
      <c r="A12" s="1" t="str">
        <v>ESTR_2056-02-24</v>
      </c>
      <c r="B12" s="1" t="str">
        <v>2061-02-24</v>
      </c>
      <c r="C12" s="1">
        <v>0.28854942547913337</v>
      </c>
      <c r="D12" s="1">
        <v>6.9432093352605098E-2</v>
      </c>
      <c r="E12" s="1">
        <v>4.5574071458668972E-2</v>
      </c>
    </row>
    <row r="16" spans="1:6" ht="24" customHeight="1" x14ac:dyDescent="0.25">
      <c r="A16" s="15" t="s">
        <v>247</v>
      </c>
      <c r="B16" s="15"/>
      <c r="C16" s="15"/>
      <c r="D16" s="15"/>
      <c r="E16" s="15"/>
      <c r="F16" s="15"/>
    </row>
    <row r="17" spans="1:6" ht="24" customHeight="1" x14ac:dyDescent="0.25">
      <c r="A17" s="1" t="str" cm="1">
        <f t="array" ref="A17:E21">_xll.QS.CURVE.TABLE(Loan_EstrCurve,"Simple","Annual",FALSE,FALSE)</f>
        <v>Reference</v>
      </c>
      <c r="B17" s="1" t="str">
        <v>2026-02-24</v>
      </c>
      <c r="C17" s="1">
        <v>1</v>
      </c>
      <c r="D17" s="1">
        <v>0</v>
      </c>
      <c r="E17" s="1">
        <v>0</v>
      </c>
    </row>
    <row r="18" spans="1:6" ht="24" customHeight="1" x14ac:dyDescent="0.25">
      <c r="A18" s="1" t="str">
        <v>ESTR_2026-02-24</v>
      </c>
      <c r="B18" s="1" t="str">
        <v>2031-02-24</v>
      </c>
      <c r="C18" s="1">
        <v>0.85884512795739665</v>
      </c>
      <c r="D18" s="1">
        <v>3.240281519762922E-2</v>
      </c>
      <c r="E18" s="1">
        <v>3.240281519762922E-2</v>
      </c>
    </row>
    <row r="19" spans="1:6" ht="24" customHeight="1" x14ac:dyDescent="0.25">
      <c r="A19" s="1" t="str">
        <v>ESTR_2031-02-24</v>
      </c>
      <c r="B19" s="1" t="str">
        <v>2036-02-24</v>
      </c>
      <c r="C19" s="1">
        <v>0.72280035998473258</v>
      </c>
      <c r="D19" s="1">
        <v>3.7804720683173559E-2</v>
      </c>
      <c r="E19" s="1">
        <v>3.7107800380479943E-2</v>
      </c>
    </row>
    <row r="20" spans="1:6" ht="24" customHeight="1" x14ac:dyDescent="0.25">
      <c r="A20" s="1" t="str">
        <v>ESTR_2036-02-24</v>
      </c>
      <c r="B20" s="1" t="str">
        <v>2056-02-24</v>
      </c>
      <c r="C20" s="1">
        <v>0.35528756407006368</v>
      </c>
      <c r="D20" s="1">
        <v>5.9620673840168947E-2</v>
      </c>
      <c r="E20" s="1">
        <v>5.0977054611452938E-2</v>
      </c>
    </row>
    <row r="21" spans="1:6" ht="24" customHeight="1" x14ac:dyDescent="0.25">
      <c r="A21" s="1" t="str">
        <v>ESTR_2056-02-24</v>
      </c>
      <c r="B21" s="1" t="str">
        <v>2061-02-24</v>
      </c>
      <c r="C21" s="1">
        <v>0.28854942547913337</v>
      </c>
      <c r="D21" s="1">
        <v>6.9432093352605098E-2</v>
      </c>
      <c r="E21" s="1">
        <v>4.5574071458668972E-2</v>
      </c>
    </row>
    <row r="26" spans="1:6" ht="24" customHeight="1" x14ac:dyDescent="0.25">
      <c r="A26" s="15" t="s">
        <v>248</v>
      </c>
      <c r="B26" s="15"/>
      <c r="C26" s="15"/>
      <c r="D26" s="15"/>
      <c r="E26" s="15"/>
      <c r="F26" s="15"/>
    </row>
    <row r="27" spans="1:6" ht="24" customHeight="1" x14ac:dyDescent="0.25">
      <c r="A27" s="1" t="str" cm="1">
        <f t="array" ref="A27:F31">_xll.QS.CURVE.TABLE(Loan_EstrCurve,"Simple","Annual",TRUE,TRUE)</f>
        <v>Pillar</v>
      </c>
      <c r="B27" s="1" t="str">
        <v>Reference</v>
      </c>
      <c r="C27" s="1" t="str">
        <v>ESTR_2026-02-24</v>
      </c>
      <c r="D27" s="1" t="str">
        <v>ESTR_2031-02-24</v>
      </c>
      <c r="E27" s="1" t="str">
        <v>ESTR_2036-02-24</v>
      </c>
      <c r="F27" s="1" t="str">
        <v>ESTR_2056-02-24</v>
      </c>
    </row>
    <row r="28" spans="1:6" ht="24" customHeight="1" x14ac:dyDescent="0.25">
      <c r="A28" s="1" t="str">
        <v>Date</v>
      </c>
      <c r="B28" s="1" t="str">
        <v>2026-02-24</v>
      </c>
      <c r="C28" s="1" t="str">
        <v>2031-02-24</v>
      </c>
      <c r="D28" s="1" t="str">
        <v>2036-02-24</v>
      </c>
      <c r="E28" s="1" t="str">
        <v>2056-02-24</v>
      </c>
      <c r="F28" s="1" t="str">
        <v>2061-02-24</v>
      </c>
    </row>
    <row r="29" spans="1:6" ht="24" customHeight="1" x14ac:dyDescent="0.25">
      <c r="A29" s="1" t="str">
        <v>Discount factor</v>
      </c>
      <c r="B29" s="1">
        <v>1</v>
      </c>
      <c r="C29" s="1">
        <v>0.85884512795739665</v>
      </c>
      <c r="D29" s="1">
        <v>0.72280035998473258</v>
      </c>
      <c r="E29" s="1">
        <v>0.35528756407006368</v>
      </c>
      <c r="F29" s="1">
        <v>0.28854942547913337</v>
      </c>
    </row>
    <row r="30" spans="1:6" ht="24" customHeight="1" x14ac:dyDescent="0.25">
      <c r="A30" s="1" t="str">
        <v>Zero rate</v>
      </c>
      <c r="B30" s="1">
        <v>0</v>
      </c>
      <c r="C30" s="1">
        <v>3.240281519762922E-2</v>
      </c>
      <c r="D30" s="1">
        <v>3.7804720683173559E-2</v>
      </c>
      <c r="E30" s="1">
        <v>5.9620673840168947E-2</v>
      </c>
      <c r="F30" s="1">
        <v>6.9432093352605098E-2</v>
      </c>
    </row>
    <row r="31" spans="1:6" ht="24" customHeight="1" x14ac:dyDescent="0.25">
      <c r="A31" s="1" t="str">
        <v>Forward from prior node</v>
      </c>
      <c r="B31" s="1">
        <v>0</v>
      </c>
      <c r="C31" s="1">
        <v>3.240281519762922E-2</v>
      </c>
      <c r="D31" s="1">
        <v>3.7107800380479943E-2</v>
      </c>
      <c r="E31" s="1">
        <v>5.0977054611452938E-2</v>
      </c>
      <c r="F31" s="1">
        <v>4.5574071458668972E-2</v>
      </c>
    </row>
    <row r="36" spans="1:6" ht="24" customHeight="1" x14ac:dyDescent="0.25">
      <c r="A36" s="15" t="s">
        <v>249</v>
      </c>
      <c r="B36" s="15"/>
      <c r="C36" s="15"/>
      <c r="D36" s="15"/>
      <c r="E36" s="15"/>
      <c r="F36" s="15"/>
    </row>
    <row r="37" spans="1:6" ht="24" customHeight="1" x14ac:dyDescent="0.25">
      <c r="A37" s="1" t="str" cm="1">
        <f t="array" ref="A37:E41">_xll.QS.CURVE.TABLE(Loan_EstrCurve,"Simple","Annual",TRUE,FALSE)</f>
        <v>Reference</v>
      </c>
      <c r="B37" s="1" t="str">
        <v>ESTR_2026-02-24</v>
      </c>
      <c r="C37" s="1" t="str">
        <v>ESTR_2031-02-24</v>
      </c>
      <c r="D37" s="1" t="str">
        <v>ESTR_2036-02-24</v>
      </c>
      <c r="E37" s="1" t="str">
        <v>ESTR_2056-02-24</v>
      </c>
    </row>
    <row r="38" spans="1:6" ht="24" customHeight="1" x14ac:dyDescent="0.25">
      <c r="A38" s="1" t="str">
        <v>2026-02-24</v>
      </c>
      <c r="B38" s="1" t="str">
        <v>2031-02-24</v>
      </c>
      <c r="C38" s="1" t="str">
        <v>2036-02-24</v>
      </c>
      <c r="D38" s="1" t="str">
        <v>2056-02-24</v>
      </c>
      <c r="E38" s="1" t="str">
        <v>2061-02-24</v>
      </c>
    </row>
    <row r="39" spans="1:6" ht="24" customHeight="1" x14ac:dyDescent="0.25">
      <c r="A39" s="1">
        <v>1</v>
      </c>
      <c r="B39" s="1">
        <v>0.85884512795739665</v>
      </c>
      <c r="C39" s="1">
        <v>0.72280035998473258</v>
      </c>
      <c r="D39" s="1">
        <v>0.35528756407006368</v>
      </c>
      <c r="E39" s="1">
        <v>0.28854942547913337</v>
      </c>
    </row>
    <row r="40" spans="1:6" ht="24" customHeight="1" x14ac:dyDescent="0.25">
      <c r="A40" s="1">
        <v>0</v>
      </c>
      <c r="B40" s="1">
        <v>3.240281519762922E-2</v>
      </c>
      <c r="C40" s="1">
        <v>3.7804720683173559E-2</v>
      </c>
      <c r="D40" s="1">
        <v>5.9620673840168947E-2</v>
      </c>
      <c r="E40" s="1">
        <v>6.9432093352605098E-2</v>
      </c>
    </row>
    <row r="41" spans="1:6" ht="24" customHeight="1" x14ac:dyDescent="0.25">
      <c r="A41" s="1">
        <v>0</v>
      </c>
      <c r="B41" s="1">
        <v>3.240281519762922E-2</v>
      </c>
      <c r="C41" s="1">
        <v>3.7107800380479943E-2</v>
      </c>
      <c r="D41" s="1">
        <v>5.0977054611452938E-2</v>
      </c>
      <c r="E41" s="1">
        <v>4.5574071458668972E-2</v>
      </c>
    </row>
  </sheetData>
  <mergeCells count="6">
    <mergeCell ref="A36:F36"/>
    <mergeCell ref="A1:F1"/>
    <mergeCell ref="A2:F3"/>
    <mergeCell ref="A6:F6"/>
    <mergeCell ref="A16:F16"/>
    <mergeCell ref="A26:F26"/>
  </mergeCells>
  <hyperlinks>
    <hyperlink ref="A4" location="'Start Here'!A1" display="← Start Here" xr:uid="{00000000-0004-0000-0800-000000000000}"/>
  </hyperlinks>
  <pageMargins left="0.3" right="0.3" top="0.4" bottom="0.4" header="0.3" footer="0.3"/>
  <pageSetup paperSize="9" fitToHeight="0" orientation="landscape"/>
  <headerFooter>
    <oddFooter>&amp;LQuantSupport&amp;CTable layout · transpose and headers&amp;R&amp;P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229</vt:i4>
      </vt:variant>
    </vt:vector>
  </HeadingPairs>
  <TitlesOfParts>
    <vt:vector size="238" baseType="lpstr">
      <vt:lpstr>Start Here</vt:lpstr>
      <vt:lpstr>1 Inputs</vt:lpstr>
      <vt:lpstr>2 Cases</vt:lpstr>
      <vt:lpstr>3 Market</vt:lpstr>
      <vt:lpstr>4 Build</vt:lpstr>
      <vt:lpstr>5 Results</vt:lpstr>
      <vt:lpstr>6 Cashflows</vt:lpstr>
      <vt:lpstr>7 Risk</vt:lpstr>
      <vt:lpstr>8 Layouts</vt:lpstr>
      <vt:lpstr>'Start Here'!Área_de_impresión</vt:lpstr>
      <vt:lpstr>Loan_BaseCurves</vt:lpstr>
      <vt:lpstr>Loan_C01_Discount</vt:lpstr>
      <vt:lpstr>Loan_C01_Fair0</vt:lpstr>
      <vt:lpstr>Loan_C01_FairRate0</vt:lpstr>
      <vt:lpstr>Loan_C01_Index</vt:lpstr>
      <vt:lpstr>Loan_C01_Instrument</vt:lpstr>
      <vt:lpstr>Loan_C01_Net</vt:lpstr>
      <vt:lpstr>Loan_C01_Pricer</vt:lpstr>
      <vt:lpstr>Loan_C01_PV</vt:lpstr>
      <vt:lpstr>Loan_C01_Rate</vt:lpstr>
      <vt:lpstr>Loan_C01_Repayment</vt:lpstr>
      <vt:lpstr>Loan_C01_Result</vt:lpstr>
      <vt:lpstr>Loan_C01_Trade</vt:lpstr>
      <vt:lpstr>Loan_C02_Discount</vt:lpstr>
      <vt:lpstr>Loan_C02_Fair0</vt:lpstr>
      <vt:lpstr>Loan_C02_FairRate0</vt:lpstr>
      <vt:lpstr>Loan_C02_Index</vt:lpstr>
      <vt:lpstr>Loan_C02_Instrument</vt:lpstr>
      <vt:lpstr>Loan_C02_Net</vt:lpstr>
      <vt:lpstr>Loan_C02_Pricer</vt:lpstr>
      <vt:lpstr>Loan_C02_PV</vt:lpstr>
      <vt:lpstr>Loan_C02_Rate</vt:lpstr>
      <vt:lpstr>Loan_C02_Repayment</vt:lpstr>
      <vt:lpstr>Loan_C02_Result</vt:lpstr>
      <vt:lpstr>Loan_C02_Trade</vt:lpstr>
      <vt:lpstr>Loan_C03_Discount</vt:lpstr>
      <vt:lpstr>Loan_C03_Fair0</vt:lpstr>
      <vt:lpstr>Loan_C03_FairRate0</vt:lpstr>
      <vt:lpstr>Loan_C03_Index</vt:lpstr>
      <vt:lpstr>Loan_C03_Instrument</vt:lpstr>
      <vt:lpstr>Loan_C03_Net</vt:lpstr>
      <vt:lpstr>Loan_C03_Options</vt:lpstr>
      <vt:lpstr>Loan_C03_Pricer</vt:lpstr>
      <vt:lpstr>Loan_C03_PV</vt:lpstr>
      <vt:lpstr>Loan_C03_Rate</vt:lpstr>
      <vt:lpstr>Loan_C03_Repayment</vt:lpstr>
      <vt:lpstr>Loan_C03_Result</vt:lpstr>
      <vt:lpstr>Loan_C03_Setting_balloonfraction</vt:lpstr>
      <vt:lpstr>Loan_C03_Trade</vt:lpstr>
      <vt:lpstr>Loan_C04_Discount</vt:lpstr>
      <vt:lpstr>Loan_C04_Fair0</vt:lpstr>
      <vt:lpstr>Loan_C04_FairRate0</vt:lpstr>
      <vt:lpstr>Loan_C04_Index</vt:lpstr>
      <vt:lpstr>Loan_C04_Instrument</vt:lpstr>
      <vt:lpstr>Loan_C04_Net</vt:lpstr>
      <vt:lpstr>Loan_C04_Options</vt:lpstr>
      <vt:lpstr>Loan_C04_Pricer</vt:lpstr>
      <vt:lpstr>Loan_C04_PV</vt:lpstr>
      <vt:lpstr>Loan_C04_Rate</vt:lpstr>
      <vt:lpstr>Loan_C04_Repayment</vt:lpstr>
      <vt:lpstr>Loan_C04_Result</vt:lpstr>
      <vt:lpstr>Loan_C04_Setting_amortizationrate</vt:lpstr>
      <vt:lpstr>Loan_C04_Trade</vt:lpstr>
      <vt:lpstr>Loan_C05_CouponIndices</vt:lpstr>
      <vt:lpstr>Loan_C05_CouponPeriods</vt:lpstr>
      <vt:lpstr>Loan_C05_CouponRates</vt:lpstr>
      <vt:lpstr>Loan_C05_Discount</vt:lpstr>
      <vt:lpstr>Loan_C05_Fair0</vt:lpstr>
      <vt:lpstr>Loan_C05_Fair1</vt:lpstr>
      <vt:lpstr>Loan_C05_FairRate0</vt:lpstr>
      <vt:lpstr>Loan_C05_FairRate1</vt:lpstr>
      <vt:lpstr>Loan_C05_Index</vt:lpstr>
      <vt:lpstr>Loan_C05_Instrument</vt:lpstr>
      <vt:lpstr>Loan_C05_Net</vt:lpstr>
      <vt:lpstr>Loan_C05_Pricer</vt:lpstr>
      <vt:lpstr>Loan_C05_PV</vt:lpstr>
      <vt:lpstr>Loan_C05_Rate</vt:lpstr>
      <vt:lpstr>Loan_C05_Repayment</vt:lpstr>
      <vt:lpstr>Loan_C05_Result</vt:lpstr>
      <vt:lpstr>Loan_C05_Trade</vt:lpstr>
      <vt:lpstr>Loan_C06_Discount</vt:lpstr>
      <vt:lpstr>Loan_C06_Index</vt:lpstr>
      <vt:lpstr>Loan_C06_Instrument</vt:lpstr>
      <vt:lpstr>Loan_C06_Net</vt:lpstr>
      <vt:lpstr>Loan_C06_Options</vt:lpstr>
      <vt:lpstr>Loan_C06_Pricer</vt:lpstr>
      <vt:lpstr>Loan_C06_PV</vt:lpstr>
      <vt:lpstr>Loan_C06_Rate</vt:lpstr>
      <vt:lpstr>Loan_C06_Repayment</vt:lpstr>
      <vt:lpstr>Loan_C06_Result</vt:lpstr>
      <vt:lpstr>Loan_C06_Setting_amortizationrate</vt:lpstr>
      <vt:lpstr>Loan_C06_Setting_cap</vt:lpstr>
      <vt:lpstr>Loan_C06_Setting_floor</vt:lpstr>
      <vt:lpstr>Loan_C06_Trade</vt:lpstr>
      <vt:lpstr>Loan_C07_Discount</vt:lpstr>
      <vt:lpstr>Loan_C07_Fair0</vt:lpstr>
      <vt:lpstr>Loan_C07_FairRate0</vt:lpstr>
      <vt:lpstr>Loan_C07_Index</vt:lpstr>
      <vt:lpstr>Loan_C07_Instrument</vt:lpstr>
      <vt:lpstr>Loan_C07_Net</vt:lpstr>
      <vt:lpstr>Loan_C07_Options</vt:lpstr>
      <vt:lpstr>Loan_C07_Pricer</vt:lpstr>
      <vt:lpstr>Loan_C07_PV</vt:lpstr>
      <vt:lpstr>Loan_C07_Rate</vt:lpstr>
      <vt:lpstr>Loan_C07_Repayment</vt:lpstr>
      <vt:lpstr>Loan_C07_Result</vt:lpstr>
      <vt:lpstr>Loan_C07_Setting_annualcpr</vt:lpstr>
      <vt:lpstr>Loan_C07_Trade</vt:lpstr>
      <vt:lpstr>Loan_C08_Discount</vt:lpstr>
      <vt:lpstr>Loan_C08_Fair0</vt:lpstr>
      <vt:lpstr>Loan_C08_FairRate0</vt:lpstr>
      <vt:lpstr>Loan_C08_Index</vt:lpstr>
      <vt:lpstr>Loan_C08_Instrument</vt:lpstr>
      <vt:lpstr>Loan_C08_Net</vt:lpstr>
      <vt:lpstr>Loan_C08_Options</vt:lpstr>
      <vt:lpstr>Loan_C08_Pricer</vt:lpstr>
      <vt:lpstr>Loan_C08_PV</vt:lpstr>
      <vt:lpstr>Loan_C08_Rate</vt:lpstr>
      <vt:lpstr>Loan_C08_Repayment</vt:lpstr>
      <vt:lpstr>Loan_C08_Result</vt:lpstr>
      <vt:lpstr>Loan_C08_Setting_creditindex</vt:lpstr>
      <vt:lpstr>Loan_C08_Setting_recovery</vt:lpstr>
      <vt:lpstr>Loan_C08_Trade</vt:lpstr>
      <vt:lpstr>Loan_C09_Discount</vt:lpstr>
      <vt:lpstr>Loan_C09_Fair0</vt:lpstr>
      <vt:lpstr>Loan_C09_FairRate0</vt:lpstr>
      <vt:lpstr>Loan_C09_Index</vt:lpstr>
      <vt:lpstr>Loan_C09_Instrument</vt:lpstr>
      <vt:lpstr>Loan_C09_Net</vt:lpstr>
      <vt:lpstr>Loan_C09_Pricer</vt:lpstr>
      <vt:lpstr>Loan_C09_PV</vt:lpstr>
      <vt:lpstr>Loan_C09_Rate</vt:lpstr>
      <vt:lpstr>Loan_C09_Repayment</vt:lpstr>
      <vt:lpstr>Loan_C09_Result</vt:lpstr>
      <vt:lpstr>Loan_C09_Trade</vt:lpstr>
      <vt:lpstr>Loan_C10_Discount</vt:lpstr>
      <vt:lpstr>Loan_C10_Fair0</vt:lpstr>
      <vt:lpstr>Loan_C10_FairRate0</vt:lpstr>
      <vt:lpstr>Loan_C10_Index</vt:lpstr>
      <vt:lpstr>Loan_C10_Instrument</vt:lpstr>
      <vt:lpstr>Loan_C10_Net</vt:lpstr>
      <vt:lpstr>Loan_C10_Options</vt:lpstr>
      <vt:lpstr>Loan_C10_Pricer</vt:lpstr>
      <vt:lpstr>Loan_C10_PV</vt:lpstr>
      <vt:lpstr>Loan_C10_Rate</vt:lpstr>
      <vt:lpstr>Loan_C10_Repayment</vt:lpstr>
      <vt:lpstr>Loan_C10_Result</vt:lpstr>
      <vt:lpstr>Loan_C10_Setting_amortizationrate</vt:lpstr>
      <vt:lpstr>Loan_C10_Trade</vt:lpstr>
      <vt:lpstr>Loan_C11_CouponIndices</vt:lpstr>
      <vt:lpstr>Loan_C11_CouponPeriods</vt:lpstr>
      <vt:lpstr>Loan_C11_CouponRates</vt:lpstr>
      <vt:lpstr>Loan_C11_Discount</vt:lpstr>
      <vt:lpstr>Loan_C11_Fair0</vt:lpstr>
      <vt:lpstr>Loan_C11_Fair1</vt:lpstr>
      <vt:lpstr>Loan_C11_Fair2</vt:lpstr>
      <vt:lpstr>Loan_C11_FairRate0</vt:lpstr>
      <vt:lpstr>Loan_C11_FairRate1</vt:lpstr>
      <vt:lpstr>Loan_C11_FairRate2</vt:lpstr>
      <vt:lpstr>Loan_C11_Index</vt:lpstr>
      <vt:lpstr>Loan_C11_Instrument</vt:lpstr>
      <vt:lpstr>Loan_C11_Net</vt:lpstr>
      <vt:lpstr>Loan_C11_Pricer</vt:lpstr>
      <vt:lpstr>Loan_C11_PV</vt:lpstr>
      <vt:lpstr>Loan_C11_Rate</vt:lpstr>
      <vt:lpstr>Loan_C11_Repayment</vt:lpstr>
      <vt:lpstr>Loan_C11_Result</vt:lpstr>
      <vt:lpstr>Loan_C11_Trade</vt:lpstr>
      <vt:lpstr>Loan_C12_CouponIndices</vt:lpstr>
      <vt:lpstr>Loan_C12_CouponPeriods</vt:lpstr>
      <vt:lpstr>Loan_C12_CouponRates</vt:lpstr>
      <vt:lpstr>Loan_C12_Discount</vt:lpstr>
      <vt:lpstr>Loan_C12_Fair0</vt:lpstr>
      <vt:lpstr>Loan_C12_Fair1</vt:lpstr>
      <vt:lpstr>Loan_C12_Fair2</vt:lpstr>
      <vt:lpstr>Loan_C12_FairRate0</vt:lpstr>
      <vt:lpstr>Loan_C12_FairRate1</vt:lpstr>
      <vt:lpstr>Loan_C12_FairRate2</vt:lpstr>
      <vt:lpstr>Loan_C12_Index</vt:lpstr>
      <vt:lpstr>Loan_C12_Instrument</vt:lpstr>
      <vt:lpstr>Loan_C12_Net</vt:lpstr>
      <vt:lpstr>Loan_C12_Pricer</vt:lpstr>
      <vt:lpstr>Loan_C12_PV</vt:lpstr>
      <vt:lpstr>Loan_C12_Rate</vt:lpstr>
      <vt:lpstr>Loan_C12_Repayment</vt:lpstr>
      <vt:lpstr>Loan_C12_Result</vt:lpstr>
      <vt:lpstr>Loan_C12_Trade</vt:lpstr>
      <vt:lpstr>Loan_CaseNames</vt:lpstr>
      <vt:lpstr>Loan_Context</vt:lpstr>
      <vt:lpstr>Loan_Credit</vt:lpstr>
      <vt:lpstr>Loan_CreditMid</vt:lpstr>
      <vt:lpstr>Loan_CreditQuotes</vt:lpstr>
      <vt:lpstr>Loan_Currency</vt:lpstr>
      <vt:lpstr>Loan_Curves</vt:lpstr>
      <vt:lpstr>Loan_DayCounter</vt:lpstr>
      <vt:lpstr>Loan_EstrCurve</vt:lpstr>
      <vt:lpstr>Loan_FixedRate</vt:lpstr>
      <vt:lpstr>Loan_FloatingSpread</vt:lpstr>
      <vt:lpstr>Loan_ForwardCurves</vt:lpstr>
      <vt:lpstr>Loan_ForwardRates</vt:lpstr>
      <vt:lpstr>Loan_Frequency</vt:lpstr>
      <vt:lpstr>Loan_FundingCurrency</vt:lpstr>
      <vt:lpstr>Loan_FundingIndex</vt:lpstr>
      <vt:lpstr>Loan_FundingMapping</vt:lpstr>
      <vt:lpstr>Loan_FundingPolicy</vt:lpstr>
      <vt:lpstr>Loan_FundingPricer</vt:lpstr>
      <vt:lpstr>Loan_FundingSpreads</vt:lpstr>
      <vt:lpstr>Loan_MarketInputs</vt:lpstr>
      <vt:lpstr>Loan_Maturity</vt:lpstr>
      <vt:lpstr>Loan_Notional</vt:lpstr>
      <vt:lpstr>Loan_Pillars</vt:lpstr>
      <vt:lpstr>Loan_Recovery</vt:lpstr>
      <vt:lpstr>Loan_Request0</vt:lpstr>
      <vt:lpstr>Loan_Request1</vt:lpstr>
      <vt:lpstr>Loan_Request2</vt:lpstr>
      <vt:lpstr>Loan_Requests</vt:lpstr>
      <vt:lpstr>Loan_ResultHandles</vt:lpstr>
      <vt:lpstr>Loan_RiskFreeCurrency</vt:lpstr>
      <vt:lpstr>Loan_RiskFreeIndex</vt:lpstr>
      <vt:lpstr>Loan_RiskFreeMapping</vt:lpstr>
      <vt:lpstr>Loan_RiskFreePolicy</vt:lpstr>
      <vt:lpstr>Loan_RiskFreePricer</vt:lpstr>
      <vt:lpstr>Loan_Root</vt:lpstr>
      <vt:lpstr>Loan_SelectedCase</vt:lpstr>
      <vt:lpstr>Loan_SelectedResult</vt:lpstr>
      <vt:lpstr>Loan_Side</vt:lpstr>
      <vt:lpstr>Loan_SpreadCurves</vt:lpstr>
      <vt:lpstr>Loan_Start</vt:lpstr>
      <vt:lpstr>Loan_ValuationDate</vt:lpstr>
      <vt:lpstr>Loan_ZeroRates</vt:lpstr>
      <vt:lpstr>'1 Inputs'!Títulos_a_imprimir</vt:lpstr>
      <vt:lpstr>'2 Cases'!Títulos_a_imprimir</vt:lpstr>
      <vt:lpstr>'3 Market'!Títulos_a_imprimir</vt:lpstr>
      <vt:lpstr>'4 Build'!Títulos_a_imprimir</vt:lpstr>
      <vt:lpstr>'5 Results'!Títulos_a_imprimir</vt:lpstr>
      <vt:lpstr>'6 Cashflows'!Títulos_a_imprimir</vt:lpstr>
      <vt:lpstr>'7 Risk'!Títulos_a_imprimir</vt:lpstr>
      <vt:lpstr>'8 Layouts'!Títulos_a_imprimir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Loans · compare one change at a time</dc:title>
  <dc:creator/>
  <cp:lastModifiedBy>Jose Pedro Melo</cp:lastModifiedBy>
  <dcterms:created xsi:type="dcterms:W3CDTF">2026-01-01T00:00:00Z</dcterms:created>
  <dcterms:modified xsi:type="dcterms:W3CDTF">2026-10-23T20:50:11Z</dcterms:modified>
</cp:coreProperties>
</file>