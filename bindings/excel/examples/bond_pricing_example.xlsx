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README" sheetId="1" r:id="rId1"/>
    <sheet name="Market" sheetId="2" r:id="rId2"/>
    <sheet name="Bond Inputs" sheetId="3" r:id="rId3"/>
    <sheet name="Valuation" sheetId="4" r:id="rId4"/>
    <sheet name="Cashflows" sheetId="5" r:id="rId5"/>
    <sheet name="Risk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<sst xmlns="http://schemas.openxmlformats.org/spreadsheetml/2006/main" count="47" uniqueCount="44">
  <si>
    <t>Straight bonds: price anchors, duration, spread, and curve risk</t>
  </si>
  <si>
    <t>Load quantsupport.xll in 64-bit Windows Excel, then open this workbook and press Ctrl+Alt+F9.</t>
  </si>
  <si>
    <t>Blue cells are editable inputs. Rates and spreads are annual decimals; dates are ISO text.</t>
  </si>
  <si>
    <t>Compare the same fixed bond anchored at zero Z-spread, 100 bp Z-spread, and clean price 100.</t>
  </si>
  <si>
    <t>QS.RESULT.VALUE is monetary PV; CleanPrice/DirtyPrice anchors use quotation units per 100 face.</t>
  </si>
  <si>
    <t>Duration is yield-modified duration. Spread derivatives and curve derivatives retain their actual units.</t>
  </si>
  <si>
    <t>These are illustrative assumptions, following the questions explored in the Python notebook studies.</t>
  </si>
  <si>
    <t>Table functions end with transpose,headers. Defaults are FALSE,TRUE; TRUE,FALSE transposes without headers.</t>
  </si>
  <si>
    <t>Market reference date</t>
  </si>
  <si>
    <t>2026-02-24</t>
  </si>
  <si>
    <t>Pillar</t>
  </si>
  <si>
    <t>Continuous zero rate</t>
  </si>
  <si>
    <t>Quote store</t>
  </si>
  <si>
    <t>Configuration store</t>
  </si>
  <si>
    <t>Discount curve configuration</t>
  </si>
  <si>
    <t>Initialized pricing context</t>
  </si>
  <si>
    <t>Discount curve handle</t>
  </si>
  <si>
    <t>Change a zero-rate pillar and inspect prices, cashflows, and raw sensitivities.</t>
  </si>
  <si>
    <t>0D</t>
  </si>
  <si>
    <t>5Y</t>
  </si>
  <si>
    <t>10Y</t>
  </si>
  <si>
    <t>30Y</t>
  </si>
  <si>
    <t>35Y</t>
  </si>
  <si>
    <t>Start</t>
  </si>
  <si>
    <t>Maturity</t>
  </si>
  <si>
    <t>2036-02-24</t>
  </si>
  <si>
    <t>Notional</t>
  </si>
  <si>
    <t>Coupon</t>
  </si>
  <si>
    <t>USD</t>
  </si>
  <si>
    <t>SOFR</t>
  </si>
  <si>
    <t>Value</t>
  </si>
  <si>
    <t>ModifiedDuration</t>
  </si>
  <si>
    <t>ZSpread</t>
  </si>
  <si>
    <t>Cashflows</t>
  </si>
  <si>
    <t>Sensitivities</t>
  </si>
  <si>
    <t>Anchor</t>
  </si>
  <si>
    <t>Anchor value</t>
  </si>
  <si>
    <t>Trade</t>
  </si>
  <si>
    <t>PV (USD)</t>
  </si>
  <si>
    <t>Modified duration</t>
  </si>
  <si>
    <t>Z-spread</t>
  </si>
  <si>
    <t>Evaluation results</t>
  </si>
  <si>
    <t>CleanPrice</t>
  </si>
  <si>
    <t>Same data without headers, transposed</t>
  </si>
</sst>
</file>

<file path=xl/styles.xml><?xml version="1.0" encoding="utf-8"?>
<styleSheet xmlns="http://schemas.openxmlformats.org/spreadsheetml/2006/main">
  <numFmts count="2">
    <numFmt numFmtId="164" formatCode="0.0000%"/>
    <numFmt numFmtId="165" formatCode="#,##0.00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307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070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2C5AA0"/>
        <bgColor indexed="64"/>
      </patternFill>
    </fill>
    <fill>
      <patternFill patternType="solid">
        <fgColor rgb="FFCFD9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5.7109375" style="1" customWidth="1"/>
    <col min="2" max="12" width="22.7109375" style="1" customWidth="1"/>
  </cols>
  <sheetData>
    <row r="1" spans="1:6" ht="28" customHeight="1">
      <c r="A1" s="2" t="s">
        <v>0</v>
      </c>
      <c r="B1" s="2"/>
      <c r="C1" s="2"/>
      <c r="D1" s="2"/>
      <c r="E1" s="2"/>
      <c r="F1" s="2"/>
    </row>
    <row r="4" spans="1:6" ht="34" customHeight="1">
      <c r="A4" s="1" t="s">
        <v>1</v>
      </c>
    </row>
    <row r="5" spans="1:6" ht="34" customHeight="1">
      <c r="A5" s="1" t="s">
        <v>2</v>
      </c>
    </row>
    <row r="6" spans="1:6" ht="34" customHeight="1">
      <c r="A6" s="1" t="s">
        <v>3</v>
      </c>
    </row>
    <row r="7" spans="1:6" ht="34" customHeight="1">
      <c r="A7" s="1" t="s">
        <v>4</v>
      </c>
    </row>
    <row r="8" spans="1:6" ht="34" customHeight="1">
      <c r="A8" s="1" t="s">
        <v>5</v>
      </c>
    </row>
    <row r="9" spans="1:6" ht="34" customHeight="1">
      <c r="A9" s="1" t="s">
        <v>6</v>
      </c>
    </row>
    <row r="10" spans="1:6" ht="34" customHeight="1">
      <c r="A10" s="1" t="s">
        <v>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L2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4" width="22.7109375" style="1" customWidth="1"/>
    <col min="5" max="5" width="32.7109375" customWidth="1"/>
    <col min="6" max="6" width="58.7109375" customWidth="1"/>
    <col min="7" max="12" width="22.7109375" style="1" customWidth="1"/>
  </cols>
  <sheetData>
    <row r="3" spans="1:9">
      <c r="A3" s="1" t="s">
        <v>8</v>
      </c>
      <c r="B3" s="3" t="s">
        <v>9</v>
      </c>
      <c r="E3" s="1" t="s">
        <v>12</v>
      </c>
      <c r="F3" s="1" cm="1">
        <f t="array" ref="F3">_xll.QS.QUOTES.CREATE("Bonds.Quotes",B3)</f>
        <v>0</v>
      </c>
    </row>
    <row r="4" spans="1:9">
      <c r="E4" s="1" t="s">
        <v>13</v>
      </c>
      <c r="F4" s="1" cm="1">
        <f t="array" ref="F4">_xll.QS.CURVE.CONFIGS.CREATE("Bonds.Curves")</f>
        <v>0</v>
      </c>
    </row>
    <row r="5" spans="1:9">
      <c r="A5" s="1" t="s">
        <v>10</v>
      </c>
      <c r="B5" s="1" t="s">
        <v>11</v>
      </c>
    </row>
    <row r="6" spans="1:9">
      <c r="A6" s="3" t="s">
        <v>18</v>
      </c>
      <c r="B6" s="4">
        <v>0.03</v>
      </c>
      <c r="E6" s="1" t="s">
        <v>14</v>
      </c>
      <c r="F6" s="1" cm="1">
        <f t="array" ref="F6">_xll.QS.CURVE.CONFIGS.ADD.ZERO(F4,"SOFR","Actual360","Linear",TRUE,A6:A10,B6:B10,"Continuous","Annual")</f>
        <v>0</v>
      </c>
    </row>
    <row r="7" spans="1:9">
      <c r="A7" s="3" t="s">
        <v>19</v>
      </c>
      <c r="B7" s="4">
        <v>0.03</v>
      </c>
    </row>
    <row r="8" spans="1:9">
      <c r="A8" s="3" t="s">
        <v>20</v>
      </c>
      <c r="B8" s="4">
        <v>0.032</v>
      </c>
    </row>
    <row r="9" spans="1:9">
      <c r="A9" s="3" t="s">
        <v>21</v>
      </c>
      <c r="B9" s="4">
        <v>0.034</v>
      </c>
    </row>
    <row r="10" spans="1:9">
      <c r="A10" s="3" t="s">
        <v>22</v>
      </c>
      <c r="B10" s="4">
        <v>0.035</v>
      </c>
    </row>
    <row r="11" spans="1:9">
      <c r="E11" s="1" t="s">
        <v>15</v>
      </c>
      <c r="F11" s="1" cm="1">
        <f t="array" ref="F11">_xll.QS.CONTEXT.CREATE("Bonds.Context",F3,F6,,,,,,,,,,"USD","SOFR")</f>
        <v>0</v>
      </c>
    </row>
    <row r="12" spans="1:9">
      <c r="E12" s="1" t="s">
        <v>16</v>
      </c>
      <c r="F12" s="1" cm="1">
        <f t="array" ref="F12">_xll.QS.CURVE.GET(F11,"SOFR")</f>
        <v>0</v>
      </c>
    </row>
    <row r="14" spans="1:9">
      <c r="A14" s="1" t="s">
        <v>17</v>
      </c>
    </row>
    <row r="15" spans="1:9">
      <c r="F15" cm="1">
        <f t="array" ref="F15">_xll.QS.DISCOUNT.POLICY.FIXED.INCOME("Bonds.Policy",H15:I15)</f>
        <v>0</v>
      </c>
      <c r="H15" s="1" t="s">
        <v>28</v>
      </c>
      <c r="I15" s="1" t="s">
        <v>29</v>
      </c>
    </row>
    <row r="16" spans="1:9">
      <c r="F16" cm="1">
        <f t="array" ref="F16">_xll.QS.PRICER.CREATE("Bonds.Pricer","BondPricer",F15)</f>
        <v>0</v>
      </c>
    </row>
    <row r="20" spans="8:8">
      <c r="H20" s="1" t="s">
        <v>30</v>
      </c>
    </row>
    <row r="21" spans="8:8">
      <c r="H21" s="1" t="s">
        <v>31</v>
      </c>
    </row>
    <row r="22" spans="8:8">
      <c r="H22" s="1" t="s">
        <v>32</v>
      </c>
    </row>
    <row r="23" spans="8:8">
      <c r="H23" s="1" t="s">
        <v>33</v>
      </c>
    </row>
    <row r="24" spans="8:8">
      <c r="H24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L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2" width="22.7109375" style="1" customWidth="1"/>
  </cols>
  <sheetData>
    <row r="4" spans="1:4">
      <c r="A4" s="1" t="s">
        <v>23</v>
      </c>
      <c r="B4" s="3" t="s">
        <v>9</v>
      </c>
      <c r="D4" s="1" cm="1">
        <f t="array" ref="D4">_xll.QS.INSTRUMENT.FIXED.BOND("Bonds.Instrument",B4,B5,"USD","",B6,B7,"Actual360","Compounded","Semiannual","Semiannual")</f>
        <v>0</v>
      </c>
    </row>
    <row r="5" spans="1:4">
      <c r="A5" s="1" t="s">
        <v>24</v>
      </c>
      <c r="B5" s="3" t="s">
        <v>25</v>
      </c>
    </row>
    <row r="6" spans="1:4">
      <c r="A6" s="1" t="s">
        <v>26</v>
      </c>
      <c r="B6" s="3">
        <v>1000000</v>
      </c>
    </row>
    <row r="7" spans="1:4">
      <c r="A7" s="1" t="s">
        <v>27</v>
      </c>
      <c r="B7" s="4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L7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2" width="22.7109375" style="1" customWidth="1"/>
    <col min="3" max="3" width="55.7109375" customWidth="1"/>
    <col min="4" max="12" width="22.7109375" style="1" customWidth="1"/>
  </cols>
  <sheetData>
    <row r="4" spans="1:7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</row>
    <row r="5" spans="1:7">
      <c r="A5" s="3" t="s">
        <v>32</v>
      </c>
      <c r="B5" s="3">
        <v>0</v>
      </c>
      <c r="C5" cm="1">
        <f t="array" ref="C5">_xll.QS.TRADE.CREATE("Bonds.Case5",'Bond Inputs'!$D$4,Market!$B$3,"Receive",,,A5,B5)</f>
        <v>0</v>
      </c>
      <c r="D5" s="6" cm="1">
        <f t="array" ref="D5">_xll.QS.RESULT.VALUE(G5)</f>
        <v>0</v>
      </c>
      <c r="E5" s="6" cm="1">
        <f t="array" ref="E5">_xll.QS.RESULT.MODIFIED.DURATION(G5)</f>
        <v>0</v>
      </c>
      <c r="F5" s="7" cm="1">
        <f t="array" ref="F5">_xll.QS.RESULT.Z.SPREAD(G5)</f>
        <v>0</v>
      </c>
      <c r="G5" s="1" cm="1">
        <f t="array" ref="G5">_xll.QS.EVALUATE("Bonds.Results5",Market!$F$16,C5,Market!$F$11,Market!$H$20:$H$24)</f>
        <v>0</v>
      </c>
    </row>
    <row r="6" spans="1:7">
      <c r="A6" s="3" t="s">
        <v>32</v>
      </c>
      <c r="B6" s="3">
        <v>0.01</v>
      </c>
      <c r="C6" cm="1">
        <f t="array" ref="C6">_xll.QS.TRADE.CREATE("Bonds.Case6",'Bond Inputs'!$D$4,Market!$B$3,"Receive",,,A6,B6)</f>
        <v>0</v>
      </c>
      <c r="D6" s="6" cm="1">
        <f t="array" ref="D6">_xll.QS.RESULT.VALUE(G6)</f>
        <v>0</v>
      </c>
      <c r="E6" s="6" cm="1">
        <f t="array" ref="E6">_xll.QS.RESULT.MODIFIED.DURATION(G6)</f>
        <v>0</v>
      </c>
      <c r="F6" s="7" cm="1">
        <f t="array" ref="F6">_xll.QS.RESULT.Z.SPREAD(G6)</f>
        <v>0</v>
      </c>
      <c r="G6" s="1" cm="1">
        <f t="array" ref="G6">_xll.QS.EVALUATE("Bonds.Results6",Market!$F$16,C6,Market!$F$11,Market!$H$20:$H$24)</f>
        <v>0</v>
      </c>
    </row>
    <row r="7" spans="1:7">
      <c r="A7" s="3" t="s">
        <v>42</v>
      </c>
      <c r="B7" s="3">
        <v>100</v>
      </c>
      <c r="C7" cm="1">
        <f t="array" ref="C7">_xll.QS.TRADE.CREATE("Bonds.Case7",'Bond Inputs'!$D$4,Market!$B$3,"Receive",,,A7,B7)</f>
        <v>0</v>
      </c>
      <c r="D7" s="6" cm="1">
        <f t="array" ref="D7">_xll.QS.RESULT.VALUE(G7)</f>
        <v>0</v>
      </c>
      <c r="E7" s="6" cm="1">
        <f t="array" ref="E7">_xll.QS.RESULT.MODIFIED.DURATION(G7)</f>
        <v>0</v>
      </c>
      <c r="F7" s="7" cm="1">
        <f t="array" ref="F7">_xll.QS.RESULT.Z.SPREAD(G7)</f>
        <v>0</v>
      </c>
      <c r="G7" s="1" cm="1">
        <f t="array" ref="G7">_xll.QS.EVALUATE("Bonds.Results7",Market!$F$16,C7,Market!$F$11,Market!$H$20:$H$24)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4:L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2" width="22.7109375" style="1" customWidth="1"/>
  </cols>
  <sheetData>
    <row r="4" spans="1:1">
      <c r="A4" s="1" cm="1">
        <f t="array" ref="A4">_xll.QS.RESULT.CASHFLOWS(Valuation!G5)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L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2" width="22.7109375" style="1" customWidth="1"/>
  </cols>
  <sheetData>
    <row r="2" spans="1:5">
      <c r="E2" s="8" t="s">
        <v>43</v>
      </c>
    </row>
    <row r="4" spans="1:5">
      <c r="A4" s="1" cm="1">
        <f t="array" ref="A4">_xll.QS.RESULT.SENSITIVITIES(Valuation!G6)</f>
        <v>0</v>
      </c>
      <c r="E4" s="1" cm="1">
        <f t="array" ref="E4">_xll.QS.RESULT.SENSITIVITIES(Valuation!G6,TRUE,FALSE)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Market</vt:lpstr>
      <vt:lpstr>Bond Inputs</vt:lpstr>
      <vt:lpstr>Valuation</vt:lpstr>
      <vt:lpstr>Cashflows</vt:lpstr>
      <vt:lpstr>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QuantSupport Excel examples</dc:title>
  <dc:creator/>
  <cp:lastModifiedBy/>
  <dcterms:created xsi:type="dcterms:W3CDTF">2026-01-01T00:00:00Z</dcterms:created>
  <dcterms:modified xsi:type="dcterms:W3CDTF">2026-01-01T00:00:00Z</dcterms:modified>
</cp:coreProperties>
</file>