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Market'!$B$38</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Build'!$B$92</definedName>
    <definedName name="Loan_C03_FairRate0">'5 Results'!$D$9</definedName>
    <definedName name="Loan_C03_Index">'2 Cases'!$D$28</definedName>
    <definedName name="Loan_C03_Instrument">'4 Build'!$B$80</definedName>
    <definedName name="Loan_C03_Net">'5 Results'!$C$9</definedName>
    <definedName name="Loan_C03_Options">'4 Build'!$B$77</definedName>
    <definedName name="Loan_C03_Pricer">'4 Build'!$B$86</definedName>
    <definedName name="Loan_C03_PV">'5 Results'!$B$9</definedName>
    <definedName name="Loan_C03_Rate">'2 Cases'!$B$28</definedName>
    <definedName name="Loan_C03_Repayment">'2 Cases'!$F$28</definedName>
    <definedName name="Loan_C03_Result">'4 Build'!$B$89</definedName>
    <definedName name="Loan_C03_Setting_balloonfraction">'2 Cases'!$B$32</definedName>
    <definedName name="Loan_C03_Trade">'4 Build'!$B$83</definedName>
    <definedName name="Loan_C04_Discount">'2 Cases'!$B$39</definedName>
    <definedName name="Loan_C04_Fair0">'4 Build'!$B$115</definedName>
    <definedName name="Loan_C04_FairRate0">'5 Results'!$D$10</definedName>
    <definedName name="Loan_C04_Index">'2 Cases'!$D$38</definedName>
    <definedName name="Loan_C04_Instrument">'4 Build'!$B$103</definedName>
    <definedName name="Loan_C04_Net">'5 Results'!$C$10</definedName>
    <definedName name="Loan_C04_Options">'4 Build'!$B$100</definedName>
    <definedName name="Loan_C04_Pricer">'4 Build'!$B$109</definedName>
    <definedName name="Loan_C04_PV">'5 Results'!$B$10</definedName>
    <definedName name="Loan_C04_Rate">'2 Cases'!$B$38</definedName>
    <definedName name="Loan_C04_Repayment">'2 Cases'!$F$38</definedName>
    <definedName name="Loan_C04_Result">'4 Build'!$B$112</definedName>
    <definedName name="Loan_C04_Setting_amortizationrate">'2 Cases'!$B$42</definedName>
    <definedName name="Loan_C04_Trade">'4 Build'!$B$106</definedName>
    <definedName name="Loan_C05_CouponIndices">'2 Cases'!$F$52:$F$53</definedName>
    <definedName name="Loan_C05_CouponPeriods">'2 Cases'!$D$52:$D$53</definedName>
    <definedName name="Loan_C05_CouponRates">'2 Cases'!$E$52:$E$53</definedName>
    <definedName name="Loan_C05_Discount">'2 Cases'!$B$49</definedName>
    <definedName name="Loan_C05_Fair0">'4 Build'!$B$135</definedName>
    <definedName name="Loan_C05_Fair1">'4 Build'!$B$138</definedName>
    <definedName name="Loan_C05_FairRate0">'5 Results'!$D$11</definedName>
    <definedName name="Loan_C05_FairRate1">'5 Results'!$E$11</definedName>
    <definedName name="Loan_C05_Index">'2 Cases'!$D$48</definedName>
    <definedName name="Loan_C05_Instrument">'4 Build'!$B$123</definedName>
    <definedName name="Loan_C05_Net">'5 Results'!$C$11</definedName>
    <definedName name="Loan_C05_Pricer">'4 Build'!$B$129</definedName>
    <definedName name="Loan_C05_PV">'5 Results'!$B$11</definedName>
    <definedName name="Loan_C05_Rate">'2 Cases'!$B$48</definedName>
    <definedName name="Loan_C05_Repayment">'2 Cases'!$F$48</definedName>
    <definedName name="Loan_C05_Result">'4 Build'!$B$132</definedName>
    <definedName name="Loan_C05_Trade">'4 Build'!$B$126</definedName>
    <definedName name="Loan_C06_Discount">'2 Cases'!$B$63</definedName>
    <definedName name="Loan_C06_Index">'2 Cases'!$D$62</definedName>
    <definedName name="Loan_C06_Instrument">'4 Build'!$B$149</definedName>
    <definedName name="Loan_C06_Net">'5 Results'!$C$12</definedName>
    <definedName name="Loan_C06_Options">'4 Build'!$B$146</definedName>
    <definedName name="Loan_C06_Pricer">'4 Build'!$B$155</definedName>
    <definedName name="Loan_C06_PV">'5 Results'!$B$12</definedName>
    <definedName name="Loan_C06_Rate">'2 Cases'!$B$62</definedName>
    <definedName name="Loan_C06_Repayment">'2 Cases'!$F$62</definedName>
    <definedName name="Loan_C06_Result">'4 Build'!$B$158</definedName>
    <definedName name="Loan_C06_Setting_amortizationrate">'2 Cases'!$B$66</definedName>
    <definedName name="Loan_C06_Setting_cap">'2 Cases'!$B$68</definedName>
    <definedName name="Loan_C06_Setting_floor">'2 Cases'!$B$67</definedName>
    <definedName name="Loan_C06_Trade">'4 Build'!$B$152</definedName>
    <definedName name="Loan_C07_Discount">'2 Cases'!$B$75</definedName>
    <definedName name="Loan_C07_Fair0">'4 Build'!$B$181</definedName>
    <definedName name="Loan_C07_FairRate0">'5 Results'!$D$13</definedName>
    <definedName name="Loan_C07_Index">'2 Cases'!$D$74</definedName>
    <definedName name="Loan_C07_Instrument">'4 Build'!$B$169</definedName>
    <definedName name="Loan_C07_Net">'5 Results'!$C$13</definedName>
    <definedName name="Loan_C07_Options">'4 Build'!$B$166</definedName>
    <definedName name="Loan_C07_Pricer">'4 Build'!$B$175</definedName>
    <definedName name="Loan_C07_PV">'5 Results'!$B$13</definedName>
    <definedName name="Loan_C07_Rate">'2 Cases'!$B$74</definedName>
    <definedName name="Loan_C07_Repayment">'2 Cases'!$F$74</definedName>
    <definedName name="Loan_C07_Result">'4 Build'!$B$178</definedName>
    <definedName name="Loan_C07_Setting_annualcpr">'2 Cases'!$B$78</definedName>
    <definedName name="Loan_C07_Trade">'4 Build'!$B$172</definedName>
    <definedName name="Loan_C08_Discount">'2 Cases'!$B$85</definedName>
    <definedName name="Loan_C08_Fair0">'4 Build'!$B$204</definedName>
    <definedName name="Loan_C08_FairRate0">'5 Results'!$D$14</definedName>
    <definedName name="Loan_C08_Index">'2 Cases'!$D$84</definedName>
    <definedName name="Loan_C08_Instrument">'4 Build'!$B$192</definedName>
    <definedName name="Loan_C08_Net">'5 Results'!$C$14</definedName>
    <definedName name="Loan_C08_Options">'4 Build'!$B$189</definedName>
    <definedName name="Loan_C08_Pricer">'4 Build'!$B$198</definedName>
    <definedName name="Loan_C08_PV">'5 Results'!$B$14</definedName>
    <definedName name="Loan_C08_Rate">'2 Cases'!$B$84</definedName>
    <definedName name="Loan_C08_Repayment">'2 Cases'!$F$84</definedName>
    <definedName name="Loan_C08_Result">'4 Build'!$B$201</definedName>
    <definedName name="Loan_C08_Setting_creditindex">'2 Cases'!$B$88</definedName>
    <definedName name="Loan_C08_Setting_recovery">'2 Cases'!$B$89</definedName>
    <definedName name="Loan_C08_Trade">'4 Build'!$B$195</definedName>
    <definedName name="Loan_C09_Discount">'2 Cases'!$B$96</definedName>
    <definedName name="Loan_C09_Fair0">'4 Build'!$B$224</definedName>
    <definedName name="Loan_C09_FairRate0">'5 Results'!$D$15</definedName>
    <definedName name="Loan_C09_Index">'2 Cases'!$D$95</definedName>
    <definedName name="Loan_C09_Instrument">'4 Build'!$B$212</definedName>
    <definedName name="Loan_C09_Net">'5 Results'!$C$15</definedName>
    <definedName name="Loan_C09_Pricer">'4 Build'!$B$218</definedName>
    <definedName name="Loan_C09_PV">'5 Results'!$B$15</definedName>
    <definedName name="Loan_C09_Rate">'2 Cases'!$B$95</definedName>
    <definedName name="Loan_C09_Repayment">'2 Cases'!$F$95</definedName>
    <definedName name="Loan_C09_Result">'4 Build'!$B$221</definedName>
    <definedName name="Loan_C09_Trade">'4 Build'!$B$215</definedName>
    <definedName name="Loan_C10_Discount">'2 Cases'!$B$106</definedName>
    <definedName name="Loan_C10_Fair0">'4 Build'!$B$247</definedName>
    <definedName name="Loan_C10_FairRate0">'5 Results'!$D$16</definedName>
    <definedName name="Loan_C10_Index">'2 Cases'!$D$105</definedName>
    <definedName name="Loan_C10_Instrument">'4 Build'!$B$235</definedName>
    <definedName name="Loan_C10_Net">'5 Results'!$C$16</definedName>
    <definedName name="Loan_C10_Options">'4 Build'!$B$232</definedName>
    <definedName name="Loan_C10_Pricer">'4 Build'!$B$241</definedName>
    <definedName name="Loan_C10_PV">'5 Results'!$B$16</definedName>
    <definedName name="Loan_C10_Rate">'2 Cases'!$B$105</definedName>
    <definedName name="Loan_C10_Repayment">'2 Cases'!$F$105</definedName>
    <definedName name="Loan_C10_Result">'4 Build'!$B$244</definedName>
    <definedName name="Loan_C10_Setting_amortizationrate">'2 Cases'!$B$109</definedName>
    <definedName name="Loan_C10_Trade">'4 Build'!$B$238</definedName>
    <definedName name="Loan_C11_CouponIndices">'2 Cases'!$F$119:$F$121</definedName>
    <definedName name="Loan_C11_CouponPeriods">'2 Cases'!$D$119:$D$121</definedName>
    <definedName name="Loan_C11_CouponRates">'2 Cases'!$E$119:$E$121</definedName>
    <definedName name="Loan_C11_Discount">'2 Cases'!$B$116</definedName>
    <definedName name="Loan_C11_Fair0">'4 Build'!$B$267</definedName>
    <definedName name="Loan_C11_Fair1">'4 Build'!$B$270</definedName>
    <definedName name="Loan_C11_Fair2">'4 Build'!$B$273</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Build'!$B$255</definedName>
    <definedName name="Loan_C11_Net">'5 Results'!$C$17</definedName>
    <definedName name="Loan_C11_Pricer">'4 Build'!$B$261</definedName>
    <definedName name="Loan_C11_PV">'5 Results'!$B$17</definedName>
    <definedName name="Loan_C11_Rate">'2 Cases'!$B$115</definedName>
    <definedName name="Loan_C11_Repayment">'2 Cases'!$F$115</definedName>
    <definedName name="Loan_C11_Result">'4 Build'!$B$264</definedName>
    <definedName name="Loan_C11_Trade">'4 Build'!$B$258</definedName>
    <definedName name="Loan_C12_CouponIndices">'2 Cases'!$F$133:$F$135</definedName>
    <definedName name="Loan_C12_CouponPeriods">'2 Cases'!$D$133:$D$135</definedName>
    <definedName name="Loan_C12_CouponRates">'2 Cases'!$E$133:$E$135</definedName>
    <definedName name="Loan_C12_Discount">'2 Cases'!$B$130</definedName>
    <definedName name="Loan_C12_Fair0">'4 Build'!$B$293</definedName>
    <definedName name="Loan_C12_Fair1">'4 Build'!$B$296</definedName>
    <definedName name="Loan_C12_Fair2">'4 Build'!$B$299</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Build'!$B$281</definedName>
    <definedName name="Loan_C12_Net">'5 Results'!$C$18</definedName>
    <definedName name="Loan_C12_Pricer">'4 Build'!$B$287</definedName>
    <definedName name="Loan_C12_PV">'5 Results'!$B$18</definedName>
    <definedName name="Loan_C12_Rate">'2 Cases'!$B$129</definedName>
    <definedName name="Loan_C12_Repayment">'2 Cases'!$F$129</definedName>
    <definedName name="Loan_C12_Result">'4 Build'!$B$290</definedName>
    <definedName name="Loan_C12_Trade">'4 Build'!$B$284</definedName>
    <definedName name="Loan_CaseNames">'5 Results'!$A$7:$A$18</definedName>
    <definedName name="Loan_Context">'4 Build'!$B$7</definedName>
    <definedName name="Loan_Credit">'3 Market'!$B$35</definedName>
    <definedName name="Loan_CreditMid">'3 Market'!$B$18:$B$24</definedName>
    <definedName name="Loan_CreditQuotes">'3 Market'!$A$18:$A$24</definedName>
    <definedName name="Loan_Currency">'1 Inputs'!$B$15</definedName>
    <definedName name="Loan_Curves">'3 Market'!$B$47</definedName>
    <definedName name="Loan_DayCounter">'1 Inputs'!$B$14</definedName>
    <definedName name="Loan_EstrCurve">'4 Build'!$B$22</definedName>
    <definedName name="Loan_FixedRate">'1 Inputs'!$B$9</definedName>
    <definedName name="Loan_FloatingSpread">'1 Inputs'!$B$10</definedName>
    <definedName name="Loan_ForwardCurves">'3 Market'!$B$41</definedName>
    <definedName name="Loan_ForwardRates">'3 Market'!$C$7:$C$11</definedName>
    <definedName name="Loan_Frequency">'1 Inputs'!$B$13</definedName>
    <definedName name="Loan_FundingCurrency">'1 Inputs'!$A$29</definedName>
    <definedName name="Loan_FundingIndex">'1 Inputs'!$B$29</definedName>
    <definedName name="Loan_FundingMapping">'1 Inputs'!$A$29:$B$29</definedName>
    <definedName name="Loan_FundingPolicy">'4 Build'!$B$16</definedName>
    <definedName name="Loan_FundingPricer">'4 Build'!$B$19</definedName>
    <definedName name="Loan_FundingSpreads">'3 Market'!$D$7:$D$11</definedName>
    <definedName name="Loan_MarketInputs">'3 Market'!$B$35:$B$49</definedName>
    <definedName name="Loan_Maturity">'1 Inputs'!$B$12</definedName>
    <definedName name="Loan_Notional">'1 Inputs'!$B$8</definedName>
    <definedName name="Loan_Pillars">'3 Market'!$A$7:$A$11</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Build'!$B$305:$B$316</definedName>
    <definedName name="Loan_RiskFreeCurrency">'1 Inputs'!$A$28</definedName>
    <definedName name="Loan_RiskFreeIndex">'1 Inputs'!$B$28</definedName>
    <definedName name="Loan_RiskFreeMapping">'1 Inputs'!$A$28:$B$28</definedName>
    <definedName name="Loan_RiskFreePolicy">'4 Build'!$B$10</definedName>
    <definedName name="Loan_RiskFreePricer">'4 Build'!$B$13</definedName>
    <definedName name="Loan_Root">'3 Market'!$B$32</definedName>
    <definedName name="Loan_SelectedCase">'5 Results'!$B$22</definedName>
    <definedName name="Loan_SelectedResult">'4 Build'!$B$319</definedName>
    <definedName name="Loan_Side">'1 Inputs'!$B$16</definedName>
    <definedName name="Loan_SpreadCurves">'3 Market'!$B$44</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Owns the market stores and date.</t>
        </r>
      </text>
    </comment>
    <comment ref="B35" authorId="0">
      <text>
        <r>
          <rPr>
            <sz val="8"/>
            <color indexed="81"/>
            <rFont val="Tahoma"/>
            <family val="2"/>
          </rPr>
          <t>Independent CDS identifier and quote arrays.</t>
        </r>
      </text>
    </comment>
    <comment ref="B38" authorId="0">
      <text>
        <r>
          <rPr>
            <sz val="8"/>
            <color indexed="81"/>
            <rFont val="Tahoma"/>
            <family val="2"/>
          </rPr>
          <t>Every addition references the same root; fields are separate arrays.</t>
        </r>
      </text>
    </comment>
    <comment ref="B41" authorId="0">
      <text>
        <r>
          <rPr>
            <sz val="8"/>
            <color indexed="81"/>
            <rFont val="Tahoma"/>
            <family val="2"/>
          </rPr>
          <t>Every addition references the same root; fields are separate arrays.</t>
        </r>
      </text>
    </comment>
    <comment ref="B44" authorId="0">
      <text>
        <r>
          <rPr>
            <sz val="8"/>
            <color indexed="81"/>
            <rFont val="Tahoma"/>
            <family val="2"/>
          </rPr>
          <t>Every addition references the same root; fields are separate arrays.</t>
        </r>
      </text>
    </comment>
    <comment ref="B47" authorId="0">
      <text>
        <r>
          <rPr>
            <sz val="8"/>
            <color indexed="81"/>
            <rFont val="Tahoma"/>
            <family val="2"/>
          </rPr>
          <t>Funding is an ordinary context curve.</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Each optional parameter is visible in IntelliSense; its value refers to the case input cell.</t>
        </r>
      </text>
    </comment>
    <comment ref="B80" authorId="0">
      <text>
        <r>
          <rPr>
            <sz val="8"/>
            <color indexed="81"/>
            <rFont val="Tahoma"/>
            <family val="2"/>
          </rPr>
          <t>Reserve one quarter of principal for maturity.</t>
        </r>
      </text>
    </comment>
    <comment ref="B83" authorId="0">
      <text>
        <r>
          <rPr>
            <sz val="8"/>
            <color indexed="81"/>
            <rFont val="Tahoma"/>
            <family val="2"/>
          </rPr>
          <t>The contractual principal stays in the instrument.</t>
        </r>
      </text>
    </comment>
    <comment ref="B86" authorId="0">
      <text>
        <r>
          <rPr>
            <sz val="8"/>
            <color indexed="81"/>
            <rFont val="Tahoma"/>
            <family val="2"/>
          </rPr>
          <t>The case's discount choice selects an existing policy-configured pricer.</t>
        </r>
      </text>
    </comment>
    <comment ref="B89" authorId="0">
      <text>
        <r>
          <rPr>
            <sz val="8"/>
            <color indexed="81"/>
            <rFont val="Tahoma"/>
            <family val="2"/>
          </rPr>
          <t>Future receipt PV excludes the original principal advance.</t>
        </r>
      </text>
    </comment>
    <comment ref="B92" authorId="0">
      <text>
        <r>
          <rPr>
            <sz val="8"/>
            <color indexed="81"/>
            <rFont val="Tahoma"/>
            <family val="2"/>
          </rPr>
          <t>Repay remaining principal at each prefix end, lock earlier solved rates, then extend.</t>
        </r>
      </text>
    </comment>
    <comment ref="B100" authorId="0">
      <text>
        <r>
          <rPr>
            <sz val="8"/>
            <color indexed="81"/>
            <rFont val="Tahoma"/>
            <family val="2"/>
          </rPr>
          <t>Each optional parameter is visible in IntelliSense; its value refers to the case input cell.</t>
        </r>
      </text>
    </comment>
    <comment ref="B103" authorId="0">
      <text>
        <r>
          <rPr>
            <sz val="8"/>
            <color indexed="81"/>
            <rFont val="Tahoma"/>
            <family val="2"/>
          </rPr>
          <t>EURIBOR12m plus a spread; principal is agreed at 5%.</t>
        </r>
      </text>
    </comment>
    <comment ref="B106" authorId="0">
      <text>
        <r>
          <rPr>
            <sz val="8"/>
            <color indexed="81"/>
            <rFont val="Tahoma"/>
            <family val="2"/>
          </rPr>
          <t>The contractual principal stays in the instrument.</t>
        </r>
      </text>
    </comment>
    <comment ref="B109" authorId="0">
      <text>
        <r>
          <rPr>
            <sz val="8"/>
            <color indexed="81"/>
            <rFont val="Tahoma"/>
            <family val="2"/>
          </rPr>
          <t>The case's discount choice selects an existing policy-configured pricer.</t>
        </r>
      </text>
    </comment>
    <comment ref="B112" authorId="0">
      <text>
        <r>
          <rPr>
            <sz val="8"/>
            <color indexed="81"/>
            <rFont val="Tahoma"/>
            <family val="2"/>
          </rPr>
          <t>Future receipt PV excludes the original principal advance.</t>
        </r>
      </text>
    </comment>
    <comment ref="B115" authorId="0">
      <text>
        <r>
          <rPr>
            <sz val="8"/>
            <color indexed="81"/>
            <rFont val="Tahoma"/>
            <family val="2"/>
          </rPr>
          <t>Repay remaining principal at each prefix end, lock earlier solved rates, then extend.</t>
        </r>
      </text>
    </comment>
    <comment ref="B123" authorId="0">
      <text>
        <r>
          <rPr>
            <sz val="8"/>
            <color indexed="81"/>
            <rFont val="Tahoma"/>
            <family val="2"/>
          </rPr>
          <t>Fixed for 60 payments, then floating through maturity.</t>
        </r>
      </text>
    </comment>
    <comment ref="B126" authorId="0">
      <text>
        <r>
          <rPr>
            <sz val="8"/>
            <color indexed="81"/>
            <rFont val="Tahoma"/>
            <family val="2"/>
          </rPr>
          <t>The contractual principal stays in the instrument.</t>
        </r>
      </text>
    </comment>
    <comment ref="B129" authorId="0">
      <text>
        <r>
          <rPr>
            <sz val="8"/>
            <color indexed="81"/>
            <rFont val="Tahoma"/>
            <family val="2"/>
          </rPr>
          <t>The case's discount choice selects an existing policy-configured pricer.</t>
        </r>
      </text>
    </comment>
    <comment ref="B132" authorId="0">
      <text>
        <r>
          <rPr>
            <sz val="8"/>
            <color indexed="81"/>
            <rFont val="Tahoma"/>
            <family val="2"/>
          </rPr>
          <t>Future receipt PV excludes the original principal advance.</t>
        </r>
      </text>
    </comment>
    <comment ref="B135" authorId="0">
      <text>
        <r>
          <rPr>
            <sz val="8"/>
            <color indexed="81"/>
            <rFont val="Tahoma"/>
            <family val="2"/>
          </rPr>
          <t>Repay remaining principal at each prefix end, lock earlier solved rates, then extend.</t>
        </r>
      </text>
    </comment>
    <comment ref="B138" authorId="0">
      <text>
        <r>
          <rPr>
            <sz val="8"/>
            <color indexed="81"/>
            <rFont val="Tahoma"/>
            <family val="2"/>
          </rPr>
          <t>Repay remaining principal at each prefix end, lock earlier solved rates, then extend.</t>
        </r>
      </text>
    </comment>
    <comment ref="B146" authorId="0">
      <text>
        <r>
          <rPr>
            <sz val="8"/>
            <color indexed="81"/>
            <rFont val="Tahoma"/>
            <family val="2"/>
          </rPr>
          <t>Each optional parameter is visible in IntelliSense; its value refers to the case input cell.</t>
        </r>
      </text>
    </comment>
    <comment ref="B149" authorId="0">
      <text>
        <r>
          <rPr>
            <sz val="8"/>
            <color indexed="81"/>
            <rFont val="Tahoma"/>
            <family val="2"/>
          </rPr>
          <t>Bounded projected coupons; fair rate is not supported.</t>
        </r>
      </text>
    </comment>
    <comment ref="B152" authorId="0">
      <text>
        <r>
          <rPr>
            <sz val="8"/>
            <color indexed="81"/>
            <rFont val="Tahoma"/>
            <family val="2"/>
          </rPr>
          <t>The contractual principal stays in the instrument.</t>
        </r>
      </text>
    </comment>
    <comment ref="B155" authorId="0">
      <text>
        <r>
          <rPr>
            <sz val="8"/>
            <color indexed="81"/>
            <rFont val="Tahoma"/>
            <family val="2"/>
          </rPr>
          <t>The case's discount choice selects an existing policy-configured pricer.</t>
        </r>
      </text>
    </comment>
    <comment ref="B158" authorId="0">
      <text>
        <r>
          <rPr>
            <sz val="8"/>
            <color indexed="81"/>
            <rFont val="Tahoma"/>
            <family val="2"/>
          </rPr>
          <t>Future receipt PV excludes the original principal advance.</t>
        </r>
      </text>
    </comment>
    <comment ref="B166" authorId="0">
      <text>
        <r>
          <rPr>
            <sz val="8"/>
            <color indexed="81"/>
            <rFont val="Tahoma"/>
            <family val="2"/>
          </rPr>
          <t>Each optional parameter is visible in IntelliSense; its value refers to the case input cell.</t>
        </r>
      </text>
    </comment>
    <comment ref="B169" authorId="0">
      <text>
        <r>
          <rPr>
            <sz val="8"/>
            <color indexed="81"/>
            <rFont val="Tahoma"/>
            <family val="2"/>
          </rPr>
          <t>Conditional prepayment reduces future principal and interest.</t>
        </r>
      </text>
    </comment>
    <comment ref="B172" authorId="0">
      <text>
        <r>
          <rPr>
            <sz val="8"/>
            <color indexed="81"/>
            <rFont val="Tahoma"/>
            <family val="2"/>
          </rPr>
          <t>The contractual principal stays in the instrument.</t>
        </r>
      </text>
    </comment>
    <comment ref="B175" authorId="0">
      <text>
        <r>
          <rPr>
            <sz val="8"/>
            <color indexed="81"/>
            <rFont val="Tahoma"/>
            <family val="2"/>
          </rPr>
          <t>The case's discount choice selects an existing policy-configured pricer.</t>
        </r>
      </text>
    </comment>
    <comment ref="B178" authorId="0">
      <text>
        <r>
          <rPr>
            <sz val="8"/>
            <color indexed="81"/>
            <rFont val="Tahoma"/>
            <family val="2"/>
          </rPr>
          <t>Future receipt PV excludes the original principal advance.</t>
        </r>
      </text>
    </comment>
    <comment ref="B181" authorId="0">
      <text>
        <r>
          <rPr>
            <sz val="8"/>
            <color indexed="81"/>
            <rFont val="Tahoma"/>
            <family val="2"/>
          </rPr>
          <t>Repay remaining principal at each prefix end, lock earlier solved rates, then extend.</t>
        </r>
      </text>
    </comment>
    <comment ref="B189" authorId="0">
      <text>
        <r>
          <rPr>
            <sz val="8"/>
            <color indexed="81"/>
            <rFont val="Tahoma"/>
            <family val="2"/>
          </rPr>
          <t>Each optional parameter is visible in IntelliSense; its value refers to the case input cell.</t>
        </r>
      </text>
    </comment>
    <comment ref="B192" authorId="0">
      <text>
        <r>
          <rPr>
            <sz val="8"/>
            <color indexed="81"/>
            <rFont val="Tahoma"/>
            <family val="2"/>
          </rPr>
          <t>Survival and recovery use the illustrative CDS curve.</t>
        </r>
      </text>
    </comment>
    <comment ref="B195" authorId="0">
      <text>
        <r>
          <rPr>
            <sz val="8"/>
            <color indexed="81"/>
            <rFont val="Tahoma"/>
            <family val="2"/>
          </rPr>
          <t>The contractual principal stays in the instrument.</t>
        </r>
      </text>
    </comment>
    <comment ref="B198" authorId="0">
      <text>
        <r>
          <rPr>
            <sz val="8"/>
            <color indexed="81"/>
            <rFont val="Tahoma"/>
            <family val="2"/>
          </rPr>
          <t>The case's discount choice selects an existing policy-configured pricer.</t>
        </r>
      </text>
    </comment>
    <comment ref="B201" authorId="0">
      <text>
        <r>
          <rPr>
            <sz val="8"/>
            <color indexed="81"/>
            <rFont val="Tahoma"/>
            <family val="2"/>
          </rPr>
          <t>Future receipt PV excludes the original principal advance.</t>
        </r>
      </text>
    </comment>
    <comment ref="B204" authorId="0">
      <text>
        <r>
          <rPr>
            <sz val="8"/>
            <color indexed="81"/>
            <rFont val="Tahoma"/>
            <family val="2"/>
          </rPr>
          <t>Repay remaining principal at each prefix end, lock earlier solved rates, then extend.</t>
        </r>
      </text>
    </comment>
    <comment ref="B212" authorId="0">
      <text>
        <r>
          <rPr>
            <sz val="8"/>
            <color indexed="81"/>
            <rFont val="Tahoma"/>
            <family val="2"/>
          </rPr>
          <t>Same fixed contract; a different pricer policy selects funding.</t>
        </r>
      </text>
    </comment>
    <comment ref="B215" authorId="0">
      <text>
        <r>
          <rPr>
            <sz val="8"/>
            <color indexed="81"/>
            <rFont val="Tahoma"/>
            <family val="2"/>
          </rPr>
          <t>The contractual principal stays in the instrument.</t>
        </r>
      </text>
    </comment>
    <comment ref="B218" authorId="0">
      <text>
        <r>
          <rPr>
            <sz val="8"/>
            <color indexed="81"/>
            <rFont val="Tahoma"/>
            <family val="2"/>
          </rPr>
          <t>The case's discount choice selects an existing policy-configured pricer.</t>
        </r>
      </text>
    </comment>
    <comment ref="B221" authorId="0">
      <text>
        <r>
          <rPr>
            <sz val="8"/>
            <color indexed="81"/>
            <rFont val="Tahoma"/>
            <family val="2"/>
          </rPr>
          <t>Future receipt PV excludes the original principal advance.</t>
        </r>
      </text>
    </comment>
    <comment ref="B224" authorId="0">
      <text>
        <r>
          <rPr>
            <sz val="8"/>
            <color indexed="81"/>
            <rFont val="Tahoma"/>
            <family val="2"/>
          </rPr>
          <t>Repay remaining principal at each prefix end, lock earlier solved rates, then extend.</t>
        </r>
      </text>
    </comment>
    <comment ref="B232" authorId="0">
      <text>
        <r>
          <rPr>
            <sz val="8"/>
            <color indexed="81"/>
            <rFont val="Tahoma"/>
            <family val="2"/>
          </rPr>
          <t>Each optional parameter is visible in IntelliSense; its value refers to the case input cell.</t>
        </r>
      </text>
    </comment>
    <comment ref="B235" authorId="0">
      <text>
        <r>
          <rPr>
            <sz val="8"/>
            <color indexed="81"/>
            <rFont val="Tahoma"/>
            <family val="2"/>
          </rPr>
          <t>Same floating contract; discount using FUNDING.</t>
        </r>
      </text>
    </comment>
    <comment ref="B238" authorId="0">
      <text>
        <r>
          <rPr>
            <sz val="8"/>
            <color indexed="81"/>
            <rFont val="Tahoma"/>
            <family val="2"/>
          </rPr>
          <t>The contractual principal stays in the instrument.</t>
        </r>
      </text>
    </comment>
    <comment ref="B241" authorId="0">
      <text>
        <r>
          <rPr>
            <sz val="8"/>
            <color indexed="81"/>
            <rFont val="Tahoma"/>
            <family val="2"/>
          </rPr>
          <t>The case's discount choice selects an existing policy-configured pricer.</t>
        </r>
      </text>
    </comment>
    <comment ref="B244" authorId="0">
      <text>
        <r>
          <rPr>
            <sz val="8"/>
            <color indexed="81"/>
            <rFont val="Tahoma"/>
            <family val="2"/>
          </rPr>
          <t>Future receipt PV excludes the original principal advance.</t>
        </r>
      </text>
    </comment>
    <comment ref="B247" authorId="0">
      <text>
        <r>
          <rPr>
            <sz val="8"/>
            <color indexed="81"/>
            <rFont val="Tahoma"/>
            <family val="2"/>
          </rPr>
          <t>Repay remaining principal at each prefix end, lock earlier solved rates, then extend.</t>
        </r>
      </text>
    </comment>
    <comment ref="B255" authorId="0">
      <text>
        <r>
          <rPr>
            <sz val="8"/>
            <color indexed="81"/>
            <rFont val="Tahoma"/>
            <family val="2"/>
          </rPr>
          <t>Three consecutive fixed coupon segments.</t>
        </r>
      </text>
    </comment>
    <comment ref="B258" authorId="0">
      <text>
        <r>
          <rPr>
            <sz val="8"/>
            <color indexed="81"/>
            <rFont val="Tahoma"/>
            <family val="2"/>
          </rPr>
          <t>The contractual principal stays in the instrument.</t>
        </r>
      </text>
    </comment>
    <comment ref="B261" authorId="0">
      <text>
        <r>
          <rPr>
            <sz val="8"/>
            <color indexed="81"/>
            <rFont val="Tahoma"/>
            <family val="2"/>
          </rPr>
          <t>The case's discount choice selects an existing policy-configured pricer.</t>
        </r>
      </text>
    </comment>
    <comment ref="B264" authorId="0">
      <text>
        <r>
          <rPr>
            <sz val="8"/>
            <color indexed="81"/>
            <rFont val="Tahoma"/>
            <family val="2"/>
          </rPr>
          <t>Future receipt PV excludes the original principal advance.</t>
        </r>
      </text>
    </comment>
    <comment ref="B267" authorId="0">
      <text>
        <r>
          <rPr>
            <sz val="8"/>
            <color indexed="81"/>
            <rFont val="Tahoma"/>
            <family val="2"/>
          </rPr>
          <t>Repay remaining principal at each prefix end, lock earlier solved rates, then extend.</t>
        </r>
      </text>
    </comment>
    <comment ref="B270" authorId="0">
      <text>
        <r>
          <rPr>
            <sz val="8"/>
            <color indexed="81"/>
            <rFont val="Tahoma"/>
            <family val="2"/>
          </rPr>
          <t>Repay remaining principal at each prefix end, lock earlier solved rates, then extend.</t>
        </r>
      </text>
    </comment>
    <comment ref="B273" authorId="0">
      <text>
        <r>
          <rPr>
            <sz val="8"/>
            <color indexed="81"/>
            <rFont val="Tahoma"/>
            <family val="2"/>
          </rPr>
          <t>Repay remaining principal at each prefix end, lock earlier solved rates, then extend.</t>
        </r>
      </text>
    </comment>
    <comment ref="B281" authorId="0">
      <text>
        <r>
          <rPr>
            <sz val="8"/>
            <color indexed="81"/>
            <rFont val="Tahoma"/>
            <family val="2"/>
          </rPr>
          <t>Two fixed segments followed by a floating margin.</t>
        </r>
      </text>
    </comment>
    <comment ref="B284" authorId="0">
      <text>
        <r>
          <rPr>
            <sz val="8"/>
            <color indexed="81"/>
            <rFont val="Tahoma"/>
            <family val="2"/>
          </rPr>
          <t>The contractual principal stays in the instrument.</t>
        </r>
      </text>
    </comment>
    <comment ref="B287" authorId="0">
      <text>
        <r>
          <rPr>
            <sz val="8"/>
            <color indexed="81"/>
            <rFont val="Tahoma"/>
            <family val="2"/>
          </rPr>
          <t>The case's discount choice selects an existing policy-configured pricer.</t>
        </r>
      </text>
    </comment>
    <comment ref="B290" authorId="0">
      <text>
        <r>
          <rPr>
            <sz val="8"/>
            <color indexed="81"/>
            <rFont val="Tahoma"/>
            <family val="2"/>
          </rPr>
          <t>Future receipt PV excludes the original principal advance.</t>
        </r>
      </text>
    </comment>
    <comment ref="B293" authorId="0">
      <text>
        <r>
          <rPr>
            <sz val="8"/>
            <color indexed="81"/>
            <rFont val="Tahoma"/>
            <family val="2"/>
          </rPr>
          <t>Repay remaining principal at each prefix end, lock earlier solved rates, then extend.</t>
        </r>
      </text>
    </comment>
    <comment ref="B296" authorId="0">
      <text>
        <r>
          <rPr>
            <sz val="8"/>
            <color indexed="81"/>
            <rFont val="Tahoma"/>
            <family val="2"/>
          </rPr>
          <t>Repay remaining principal at each prefix end, lock earlier solved rates, then extend.</t>
        </r>
      </text>
    </comment>
    <comment ref="B299" authorId="0">
      <text>
        <r>
          <rPr>
            <sz val="8"/>
            <color indexed="81"/>
            <rFont val="Tahoma"/>
            <family val="2"/>
          </rPr>
          <t>Repay remaining principal at each prefix end, lock earlier solved rates, then extend.</t>
        </r>
      </text>
    </comment>
    <comment ref="B319"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<sst xmlns="http://schemas.openxmlformats.org/spreadsheetml/2006/main" count="571" uniqueCount="250">
  <si>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</si>
  <si>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</si>
  <si>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</si>
  <si>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</si>
  <si>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</si>
  <si>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</si>
  <si>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</si>
  <si>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</si>
  <si>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</si>
  <si>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</si>
  <si>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</si>
  <si>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</si>
  <si>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</si>
  <si>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</si>
  <si>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</si>
  <si>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</si>
  <si>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</si>
  <si>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</si>
  <si>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</si>
  <si>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</si>
  <si>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</si>
  <si>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</si>
  <si>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</si>
  <si>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</si>
  <si>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</si>
  <si>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</si>
  <si>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</si>
  <si>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</si>
  <si>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</si>
  <si>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</si>
  <si>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</si>
  <si>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</si>
  <si>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</si>
  <si>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</si>
  <si>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</si>
  <si>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</si>
  <si>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</si>
  <si>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</si>
  <si>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</si>
  <si>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</si>
  <si>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</si>
  <si>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</si>
  <si>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</si>
  <si>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</si>
  <si>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</si>
  <si>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</si>
  <si>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</si>
  <si>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</si>
  <si>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</si>
  <si>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</si>
  <si>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</si>
  <si>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</si>
  <si>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</si>
  <si>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</si>
  <si>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</si>
  <si>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</si>
  <si>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</si>
  <si>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</si>
  <si>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</si>
  <si>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</si>
  <si>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</si>
  <si>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</si>
  <si>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</si>
  <si>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</si>
  <si>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</si>
  <si>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</si>
  <si>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</si>
  <si>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</si>
  <si>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</si>
  <si>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</si>
  <si>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</si>
  <si>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</si>
  <si>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</si>
  <si>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</si>
  <si>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</si>
  <si>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</si>
  <si>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</si>
  <si>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</si>
  <si>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</si>
  <si>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</si>
  <si>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</si>
  <si>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</si>
  <si>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</si>
  <si>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</si>
  <si>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</si>
  <si>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</si>
  <si>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</si>
  <si>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</si>
  <si>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</si>
  <si>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</si>
  <si>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</si>
  <si>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</si>
  <si>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</si>
  <si>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</si>
  <si>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</si>
  <si>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</si>
  <si>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</si>
  <si>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</si>
  <si>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</si>
  <si>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</si>
  <si>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</si>
  <si>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</si>
  <si>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</si>
  <si>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</si>
  <si>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</si>
  <si>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</si>
  <si>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</si>
  <si>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</si>
  <si>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</si>
  <si>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</si>
  <si>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</si>
  <si>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</si>
  <si>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</si>
  <si>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</si>
  <si>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</si>
  <si>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</si>
  <si>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</si>
  <si>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</si>
  <si>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</si>
  <si>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</si>
  <si>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</si>
  <si>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</si>
  <si>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</si>
  <si>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</si>
  <si>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</si>
  <si>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</si>
  <si>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</si>
  <si>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</si>
  <si>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</si>
  <si>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</si>
  <si>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</si>
  <si>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</si>
  <si>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</si>
  <si>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</si>
  <si>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</si>
  <si>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</si>
  <si>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</si>
  <si>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</si>
  <si>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</si>
  <si>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</si>
  <si>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</si>
  <si>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</si>
  <si>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</si>
  <si>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</si>
  <si>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</si>
  <si>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</si>
  <si>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</si>
  <si>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</si>
  <si>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</si>
  <si>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</si>
  <si>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</si>
  <si>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</si>
  <si>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</si>
  <si>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</si>
  <si>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</si>
  <si>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</si>
  <si>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</si>
  <si>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</si>
  <si>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</si>
  <si>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</si>
  <si>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</si>
  <si>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</si>
  <si>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root context</t>
  </si>
  <si>
    <t>Owns the market stores and date.</t>
  </si>
  <si>
    <t>2. Add borrower credit</t>
  </si>
  <si>
    <t>Independent CDS identifier and quote arrays.</t>
  </si>
  <si>
    <t>Add ESTR</t>
  </si>
  <si>
    <t>Every addition references the same root; fields are separate arrays.</t>
  </si>
  <si>
    <t>Add EURIBOR12m</t>
  </si>
  <si>
    <t>Add FUNDINGSPREAD</t>
  </si>
  <si>
    <t>Add funding curve</t>
  </si>
  <si>
    <t>Funding is an ordinary context curve.</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</si>
  <si>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</si>
  <si>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</si>
  <si>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</si>
  <si>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</si>
  <si>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</si>
  <si>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</si>
  <si>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</si>
  <si>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</si>
  <si>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</si>
  <si>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</si>
  <si>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</si>
  <si>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</si>
  <si>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</si>
  <si>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</si>
  <si>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</si>
  <si>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</si>
  <si>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</si>
  <si>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</si>
  <si>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</si>
  <si>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</si>
  <si>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</si>
  <si>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</si>
  <si>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</si>
  <si>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</si>
  <si>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</si>
  <si>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</si>
  <si>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</si>
  <si>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</si>
  <si>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</si>
  <si>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Named loan settings</t>
  </si>
  <si>
    <t>Each optional parameter is visible in IntelliSense; its value refers to the case input cell.</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</si>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</sst>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 customHeight="1">
      <c r="A3" s="3" t="s">
        <v>1</v>
      </c>
      <c r="B3" s="3"/>
      <c r="C3" s="3"/>
      <c r="D3" s="3"/>
      <c r="E3" s="3"/>
      <c r="F3" s="3"/>
    </row>
    <row r="4" spans="1:6" ht="26" customHeight="1">
      <c r="A4" s="3"/>
      <c r="B4" s="3"/>
      <c r="C4" s="3"/>
      <c r="D4" s="3"/>
      <c r="E4" s="3"/>
      <c r="F4" s="3"/>
    </row>
    <row r="6" spans="1:6" ht="26" customHeight="1">
      <c r="A6" s="4" t="s">
        <v>2</v>
      </c>
      <c r="B6" s="4"/>
      <c r="C6" s="4"/>
      <c r="D6" s="4"/>
      <c r="E6" s="4"/>
      <c r="F6" s="4"/>
    </row>
    <row r="7" spans="1:6" ht="26" customHeight="1">
      <c r="A7" s="4"/>
      <c r="B7" s="4"/>
      <c r="C7" s="4"/>
      <c r="D7" s="4"/>
      <c r="E7" s="4"/>
      <c r="F7" s="4"/>
    </row>
    <row r="9" spans="1:6" ht="26" customHeight="1">
      <c r="A9" s="5" t="s">
        <v>3</v>
      </c>
      <c r="B9" s="5"/>
      <c r="C9" s="5"/>
      <c r="D9" s="5"/>
      <c r="E9" s="5"/>
      <c r="F9" s="5"/>
    </row>
    <row r="10" spans="1:6" ht="34" customHeight="1">
      <c r="A10" s="4" t="s">
        <v>4</v>
      </c>
      <c r="B10" s="6" t="s">
        <v>5</v>
      </c>
      <c r="C10" s="7"/>
      <c r="D10" s="1" t="s">
        <v>6</v>
      </c>
      <c r="E10" s="1"/>
      <c r="F10" s="1"/>
    </row>
    <row r="11" spans="1:6" ht="34" customHeight="1">
      <c r="A11" s="4" t="s">
        <v>7</v>
      </c>
      <c r="B11" s="6" t="s">
        <v>8</v>
      </c>
      <c r="C11" s="7"/>
      <c r="D11" s="1" t="s">
        <v>9</v>
      </c>
      <c r="E11" s="1"/>
      <c r="F11" s="1"/>
    </row>
    <row r="12" spans="1:6" ht="34" customHeight="1">
      <c r="A12" s="4" t="s">
        <v>10</v>
      </c>
      <c r="B12" s="6" t="s">
        <v>11</v>
      </c>
      <c r="C12" s="7"/>
      <c r="D12" s="1" t="s">
        <v>12</v>
      </c>
      <c r="E12" s="1"/>
      <c r="F12" s="1"/>
    </row>
    <row r="13" spans="1:6" ht="34" customHeight="1">
      <c r="A13" s="4" t="s">
        <v>13</v>
      </c>
      <c r="B13" s="6" t="s">
        <v>14</v>
      </c>
      <c r="C13" s="7"/>
      <c r="D13" s="1" t="s">
        <v>15</v>
      </c>
      <c r="E13" s="1"/>
      <c r="F13" s="1"/>
    </row>
    <row r="14" spans="1:6" ht="34" customHeight="1">
      <c r="A14" s="4" t="s">
        <v>16</v>
      </c>
      <c r="B14" s="6" t="s">
        <v>17</v>
      </c>
      <c r="C14" s="7"/>
      <c r="D14" s="1" t="s">
        <v>18</v>
      </c>
      <c r="E14" s="1"/>
      <c r="F14" s="1"/>
    </row>
    <row r="15" spans="1:6" ht="34" customHeight="1">
      <c r="A15" s="4" t="s">
        <v>19</v>
      </c>
      <c r="B15" s="6" t="s">
        <v>20</v>
      </c>
      <c r="C15" s="7"/>
      <c r="D15" s="1" t="s">
        <v>21</v>
      </c>
      <c r="E15" s="1"/>
      <c r="F15" s="1"/>
    </row>
    <row r="16" spans="1:6" ht="34" customHeight="1">
      <c r="A16" s="4" t="s">
        <v>22</v>
      </c>
      <c r="B16" s="6" t="s">
        <v>23</v>
      </c>
      <c r="C16" s="7"/>
      <c r="D16" s="1" t="s">
        <v>24</v>
      </c>
      <c r="E16" s="1"/>
      <c r="F16" s="1"/>
    </row>
    <row r="17" spans="1:6" ht="34" customHeight="1">
      <c r="A17" s="4" t="s">
        <v>25</v>
      </c>
      <c r="B17" s="6" t="s">
        <v>26</v>
      </c>
      <c r="C17" s="7"/>
      <c r="D17" s="1" t="s">
        <v>27</v>
      </c>
      <c r="E17" s="1"/>
      <c r="F17" s="1"/>
    </row>
    <row r="20" spans="1:6" ht="26"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 customHeight="1">
      <c r="A25" s="5" t="s">
        <v>35</v>
      </c>
      <c r="B25" s="5"/>
      <c r="C25" s="5"/>
      <c r="D25" s="5"/>
      <c r="E25" s="5"/>
      <c r="F25" s="5"/>
    </row>
    <row r="26" spans="1:6" ht="34" customHeight="1">
      <c r="A26" s="1" t="s">
        <v>36</v>
      </c>
      <c r="B26" s="1"/>
      <c r="C26" s="1"/>
      <c r="D26" s="1"/>
      <c r="E26" s="1"/>
      <c r="F26" s="1"/>
    </row>
    <row r="27" spans="1:6" ht="34" customHeight="1">
      <c r="A27" s="1" t="s">
        <v>37</v>
      </c>
      <c r="B27" s="1"/>
      <c r="C27" s="1"/>
      <c r="D27" s="1"/>
      <c r="E27" s="1"/>
      <c r="F27" s="1"/>
    </row>
    <row r="28" spans="1:6" ht="34" customHeight="1">
      <c r="A28" s="1" t="s">
        <v>38</v>
      </c>
      <c r="B28" s="1"/>
      <c r="C28" s="1"/>
      <c r="D28" s="1"/>
      <c r="E28" s="1"/>
      <c r="F28" s="1"/>
    </row>
    <row r="30" spans="1:6" ht="26" customHeight="1">
      <c r="A30" s="7" t="s">
        <v>39</v>
      </c>
      <c r="B30" s="7"/>
      <c r="C30" s="7"/>
      <c r="D30" s="7"/>
      <c r="E30" s="7"/>
      <c r="F30" s="7"/>
    </row>
    <row r="31" spans="1:6" ht="26"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 customHeight="1">
      <c r="A7" s="1" t="s">
        <v>47</v>
      </c>
      <c r="B7" s="8" t="s">
        <v>48</v>
      </c>
      <c r="C7" s="7" t="s">
        <v>49</v>
      </c>
    </row>
    <row r="8" spans="1:3" ht="32" customHeight="1">
      <c r="A8" s="1" t="s">
        <v>50</v>
      </c>
      <c r="B8" s="11">
        <v>250000</v>
      </c>
      <c r="C8" s="7" t="s">
        <v>51</v>
      </c>
    </row>
    <row r="9" spans="1:3" ht="32" customHeight="1">
      <c r="A9" s="1" t="s">
        <v>52</v>
      </c>
      <c r="B9" s="12">
        <v>0.06</v>
      </c>
      <c r="C9" s="7" t="s">
        <v>53</v>
      </c>
    </row>
    <row r="10" spans="1:3" ht="32" customHeight="1">
      <c r="A10" s="1" t="s">
        <v>54</v>
      </c>
      <c r="B10" s="12">
        <v>0.01</v>
      </c>
      <c r="C10" s="7" t="s">
        <v>55</v>
      </c>
    </row>
    <row r="11" spans="1:3" ht="32" customHeight="1">
      <c r="A11" s="1" t="s">
        <v>56</v>
      </c>
      <c r="B11" s="8" t="s">
        <v>48</v>
      </c>
      <c r="C11" s="7" t="s">
        <v>57</v>
      </c>
    </row>
    <row r="12" spans="1:3" ht="32" customHeight="1">
      <c r="A12" s="1" t="s">
        <v>58</v>
      </c>
      <c r="B12" s="8" t="s">
        <v>59</v>
      </c>
      <c r="C12" s="7" t="s">
        <v>60</v>
      </c>
    </row>
    <row r="13" spans="1:3" ht="32" customHeight="1">
      <c r="A13" s="1" t="s">
        <v>61</v>
      </c>
      <c r="B13" s="8" t="s">
        <v>62</v>
      </c>
      <c r="C13" s="7" t="s">
        <v>63</v>
      </c>
    </row>
    <row r="14" spans="1:3" ht="32" customHeight="1">
      <c r="A14" s="1" t="s">
        <v>64</v>
      </c>
      <c r="B14" s="8" t="s">
        <v>65</v>
      </c>
      <c r="C14" s="7" t="s">
        <v>66</v>
      </c>
    </row>
    <row r="15" spans="1:3" ht="32" customHeight="1">
      <c r="A15" s="1" t="s">
        <v>67</v>
      </c>
      <c r="B15" s="1" t="s">
        <v>68</v>
      </c>
      <c r="C15" s="7" t="s">
        <v>69</v>
      </c>
    </row>
    <row r="16" spans="1:3" ht="32"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4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 customHeight="1">
      <c r="A27" s="1" t="s">
        <v>157</v>
      </c>
      <c r="B27" s="12">
        <v>0.4</v>
      </c>
      <c r="C27" s="7" t="s">
        <v>158</v>
      </c>
    </row>
    <row r="31" spans="1:4" ht="36" customHeight="1">
      <c r="A31" s="5" t="s">
        <v>159</v>
      </c>
      <c r="B31" s="5" t="s">
        <v>160</v>
      </c>
      <c r="C31" s="5" t="s">
        <v>161</v>
      </c>
    </row>
    <row r="32" spans="1:4" ht="38" customHeight="1">
      <c r="A32" s="4" t="s">
        <v>162</v>
      </c>
      <c r="B32" s="10" cm="1" t="str">
        <f t="array" ref="B32">_xll.QS.CONTEXT.CREATE("Loan.Root",Loan_ValuationDate,"EUR","ESTR")</f>
        <v/>
      </c>
      <c r="C32" s="7" t="s">
        <v>163</v>
      </c>
    </row>
    <row r="33" spans="1:3" ht="34" customHeight="1">
      <c r="A33" s="14" t="str">
        <f>SUBSTITUTE(_xlfn.FORMULATEXT(B32),",",", ")</f>
        <v>=QS.CONTEXT.CREATE("Loan.Root", Loan_ValuationDate, "EUR", "ESTR")</v>
      </c>
      <c r="B33" s="14"/>
      <c r="C33" s="14"/>
    </row>
    <row r="35" spans="1:3" ht="38" customHeight="1">
      <c r="A35" s="4" t="s">
        <v>164</v>
      </c>
      <c r="B35" s="10" cm="1" t="str">
        <f t="array" ref="B35">_xll.QS.CONTEXT.ADD.CREDIT.CURVE(Loan_Root,"Credit:BORROWER","EUR","ESTR",Loan_Recovery,Loan_CreditQuotes,Loan_CreditMid)</f>
        <v/>
      </c>
      <c r="C35" s="7" t="s">
        <v>165</v>
      </c>
    </row>
    <row r="36" spans="1:3" ht="34" customHeight="1">
      <c r="A36" s="14" t="str">
        <f>SUBSTITUTE(_xlfn.FORMULATEXT(B35),",",", ")</f>
        <v>=QS.CONTEXT.ADD.CREDIT.CURVE(Loan_Root, "Credit:BORROWER", "EUR", "ESTR", Loan_Recovery, Loan_CreditQuotes, Loan_CreditMid)</v>
      </c>
      <c r="B36" s="14"/>
      <c r="C36" s="14"/>
    </row>
    <row r="38" spans="1:3" ht="38" customHeight="1">
      <c r="A38" s="4" t="s">
        <v>166</v>
      </c>
      <c r="B38" s="10" cm="1" t="str">
        <f t="array" ref="B38">_xll.QS.CONTEXT.ADD.ZERO.CURVE(Loan_Root,"ESTR",Loan_Pillars,Loan_ZeroRates,"Actual360","Linear",TRUE,"Continuous","Annual")</f>
        <v/>
      </c>
      <c r="C38" s="7" t="s">
        <v>167</v>
      </c>
    </row>
    <row r="39" spans="1:3" ht="34" customHeight="1">
      <c r="A39" s="14" t="str">
        <f>SUBSTITUTE(_xlfn.FORMULATEXT(B38),",",", ")</f>
        <v>=QS.CONTEXT.ADD.ZERO.CURVE(Loan_Root, "ESTR", Loan_Pillars, Loan_ZeroRates, "Actual360", "Linear", TRUE, "Continuous", "Annual")</v>
      </c>
      <c r="B39" s="14"/>
      <c r="C39" s="14"/>
    </row>
    <row r="41" spans="1:3" ht="38" customHeight="1">
      <c r="A41" s="4" t="s">
        <v>168</v>
      </c>
      <c r="B41" s="10" cm="1" t="str">
        <f t="array" ref="B41">_xll.QS.CONTEXT.ADD.ZERO.CURVE(Loan_Root,"EURIBOR12m",Loan_Pillars,Loan_ForwardRates,"Actual360","Linear",TRUE,"Continuous","Annual")</f>
        <v/>
      </c>
      <c r="C41" s="7" t="s">
        <v>167</v>
      </c>
    </row>
    <row r="42" spans="1:3" ht="34" customHeight="1">
      <c r="A42" s="14" t="str">
        <f>SUBSTITUTE(_xlfn.FORMULATEXT(B41),",",", ")</f>
        <v>=QS.CONTEXT.ADD.ZERO.CURVE(Loan_Root, "EURIBOR12m", Loan_Pillars, Loan_ForwardRates, "Actual360", "Linear", TRUE, "Continuous", "Annual")</v>
      </c>
      <c r="B42" s="14"/>
      <c r="C42" s="14"/>
    </row>
    <row r="44" spans="1:3" ht="38" customHeight="1">
      <c r="A44" s="4" t="s">
        <v>169</v>
      </c>
      <c r="B44" s="10" cm="1" t="str">
        <f t="array" ref="B44">_xll.QS.CONTEXT.ADD.ZERO.CURVE(Loan_Root,"FUNDINGSPREAD",Loan_Pillars,Loan_FundingSpreads,"Actual360","Linear",TRUE,"Continuous","Annual")</f>
        <v/>
      </c>
      <c r="C44" s="7" t="s">
        <v>167</v>
      </c>
    </row>
    <row r="45" spans="1:3" ht="34" customHeight="1">
      <c r="A45" s="14" t="str">
        <f>SUBSTITUTE(_xlfn.FORMULATEXT(B44),",",", ")</f>
        <v>=QS.CONTEXT.ADD.ZERO.CURVE(Loan_Root, "FUNDINGSPREAD", Loan_Pillars, Loan_FundingSpreads, "Actual360", "Linear", TRUE, "Continuous", "Annual")</v>
      </c>
      <c r="B45" s="14"/>
      <c r="C45" s="14"/>
    </row>
    <row r="47" spans="1:3" ht="38" customHeight="1">
      <c r="A47" s="4" t="s">
        <v>170</v>
      </c>
      <c r="B47" s="10" cm="1" t="str">
        <f t="array" ref="B47">_xll.QS.CONTEXT.ADD.COMPOSITE.CURVE(Loan_Root,"FUNDING","EURIBOR12m","FUNDINGSPREAD")</f>
        <v/>
      </c>
      <c r="C47" s="7" t="s">
        <v>171</v>
      </c>
    </row>
    <row r="48" spans="1:3" ht="34" customHeight="1">
      <c r="A48" s="14" t="str">
        <f>SUBSTITUTE(_xlfn.FORMULATEXT(B47),",",", ")</f>
        <v>=QS.CONTEXT.ADD.COMPOSITE.CURVE(Loan_Root, "FUNDING", "EURIBOR12m", "FUNDINGSPREAD")</v>
      </c>
      <c r="B48" s="14"/>
      <c r="C48" s="14"/>
    </row>
  </sheetData>
  <mergeCells count="9">
    <mergeCell ref="A1:D1"/>
    <mergeCell ref="A2:D3"/>
    <mergeCell ref="A13:D14"/>
    <mergeCell ref="A33:C33"/>
    <mergeCell ref="A36:C36"/>
    <mergeCell ref="A39:C39"/>
    <mergeCell ref="A42:C42"/>
    <mergeCell ref="A45:C45"/>
    <mergeCell ref="A48:C48"/>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20"/>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 customHeight="1">
      <c r="A1" s="2" t="s">
        <v>172</v>
      </c>
      <c r="B1" s="2"/>
      <c r="C1" s="2"/>
    </row>
    <row r="2" spans="1:3" ht="24" customHeight="1">
      <c r="A2" s="3" t="s">
        <v>173</v>
      </c>
      <c r="B2" s="3"/>
      <c r="C2" s="3"/>
    </row>
    <row r="3" spans="1:3" ht="24" customHeight="1">
      <c r="A3" s="3"/>
      <c r="B3" s="3"/>
      <c r="C3" s="3"/>
    </row>
    <row r="4" spans="1:3" ht="36" customHeight="1">
      <c r="A4" s="6" t="s">
        <v>42</v>
      </c>
      <c r="C4" s="6" t="s">
        <v>174</v>
      </c>
    </row>
    <row r="6" spans="1:3" ht="36" customHeight="1">
      <c r="A6" s="5" t="s">
        <v>175</v>
      </c>
      <c r="B6" s="5" t="s">
        <v>160</v>
      </c>
      <c r="C6" s="5" t="s">
        <v>176</v>
      </c>
    </row>
    <row r="7" spans="1:3" ht="38" customHeight="1">
      <c r="A7" s="4" t="s">
        <v>177</v>
      </c>
      <c r="B7" s="10" cm="1" t="str">
        <f t="array" ref="B7">_xll.QS.CONTEXT.PREPARE("Loan.Context",Loan_Root,Loan_MarketInputs)</f>
        <v/>
      </c>
      <c r="C7" s="7" t="s">
        <v>178</v>
      </c>
    </row>
    <row r="8" spans="1:3" ht="34" customHeight="1">
      <c r="A8" s="14" t="str">
        <f>SUBSTITUTE(_xlfn.FORMULATEXT(B7),",",", ")</f>
        <v>=QS.CONTEXT.PREPARE("Loan.Context", Loan_Root, Loan_MarketInputs)</v>
      </c>
      <c r="B8" s="14"/>
      <c r="C8" s="14"/>
    </row>
    <row r="10" spans="1:3" ht="38" customHeight="1">
      <c r="A10" s="4" t="s">
        <v>179</v>
      </c>
      <c r="B10" s="10" cm="1" t="str">
        <f t="array" ref="B10">_xll.QS.DISCOUNT.POLICY.FIXED.INCOME("Loan.RiskFreePolicy",Loan_RiskFreeCurrency,Loan_RiskFreeIndex)</f>
        <v/>
      </c>
      <c r="C10" s="7" t="s">
        <v>180</v>
      </c>
    </row>
    <row r="11" spans="1:3" ht="34" customHeight="1">
      <c r="A11" s="14" t="str">
        <f>SUBSTITUTE(_xlfn.FORMULATEXT(B10),",",", ")</f>
        <v>=QS.DISCOUNT.POLICY.FIXED.INCOME("Loan.RiskFreePolicy", Loan_RiskFreeCurrency, Loan_RiskFreeIndex)</v>
      </c>
      <c r="B11" s="14"/>
      <c r="C11" s="14"/>
    </row>
    <row r="13" spans="1:3" ht="38" customHeight="1">
      <c r="A13" s="4" t="s">
        <v>181</v>
      </c>
      <c r="B13" s="10" cm="1" t="str">
        <f t="array" ref="B13">_xll.QS.PRICER.CREATE("Loan.RiskFreePricer","LoanPricer",Loan_RiskFreePolicy)</f>
        <v/>
      </c>
      <c r="C13" s="7" t="s">
        <v>182</v>
      </c>
    </row>
    <row r="14" spans="1:3" ht="34" customHeight="1">
      <c r="A14" s="14" t="str">
        <f>SUBSTITUTE(_xlfn.FORMULATEXT(B13),",",", ")</f>
        <v>=QS.PRICER.CREATE("Loan.RiskFreePricer", "LoanPricer", Loan_RiskFreePolicy)</v>
      </c>
      <c r="B14" s="14"/>
      <c r="C14" s="14"/>
    </row>
    <row r="16" spans="1:3" ht="38" customHeight="1">
      <c r="A16" s="4" t="s">
        <v>183</v>
      </c>
      <c r="B16" s="10" cm="1" t="str">
        <f t="array" ref="B16">_xll.QS.DISCOUNT.POLICY.FIXED.INCOME("Loan.FundingPolicy",Loan_FundingCurrency,Loan_FundingIndex)</f>
        <v/>
      </c>
      <c r="C16" s="7" t="s">
        <v>180</v>
      </c>
    </row>
    <row r="17" spans="1:3" ht="34" customHeight="1">
      <c r="A17" s="14" t="str">
        <f>SUBSTITUTE(_xlfn.FORMULATEXT(B16),",",", ")</f>
        <v>=QS.DISCOUNT.POLICY.FIXED.INCOME("Loan.FundingPolicy", Loan_FundingCurrency, Loan_FundingIndex)</v>
      </c>
      <c r="B17" s="14"/>
      <c r="C17" s="14"/>
    </row>
    <row r="19" spans="1:3" ht="38" customHeight="1">
      <c r="A19" s="4" t="s">
        <v>184</v>
      </c>
      <c r="B19" s="10" cm="1" t="str">
        <f t="array" ref="B19">_xll.QS.PRICER.CREATE("Loan.FundingPricer","LoanPricer",Loan_FundingPolicy)</f>
        <v/>
      </c>
      <c r="C19" s="7" t="s">
        <v>182</v>
      </c>
    </row>
    <row r="20" spans="1:3" ht="34" customHeight="1">
      <c r="A20" s="14" t="str">
        <f>SUBSTITUTE(_xlfn.FORMULATEXT(B19),",",", ")</f>
        <v>=QS.PRICER.CREATE("Loan.FundingPricer", "LoanPricer", Loan_FundingPolicy)</v>
      </c>
      <c r="B20" s="14"/>
      <c r="C20" s="14"/>
    </row>
    <row r="22" spans="1:3" ht="38" customHeight="1">
      <c r="A22" s="4" t="s">
        <v>185</v>
      </c>
      <c r="B22" s="10" cm="1" t="str">
        <f t="array" ref="B22">_xll.QS.CURVE.GET(Loan_Context,"ESTR")</f>
        <v/>
      </c>
      <c r="C22" s="7" t="s">
        <v>186</v>
      </c>
    </row>
    <row r="23" spans="1:3" ht="34" customHeight="1">
      <c r="A23" s="14" t="str">
        <f>SUBSTITUTE(_xlfn.FORMULATEXT(B22),",",", ")</f>
        <v>=QS.CURVE.GET(Loan_Context, "ESTR")</v>
      </c>
      <c r="B23" s="14"/>
      <c r="C23" s="14"/>
    </row>
    <row r="25" spans="1:3" ht="38" customHeight="1">
      <c r="A25" s="4" t="s">
        <v>187</v>
      </c>
      <c r="B25" s="10" cm="1" t="str">
        <f t="array" ref="B25">_xll.QS.REQUEST.FAIR.RATE(0)</f>
        <v/>
      </c>
      <c r="C25" s="7" t="s">
        <v>188</v>
      </c>
    </row>
    <row r="26" spans="1:3" ht="34" customHeight="1">
      <c r="A26" s="14" t="str">
        <f>SUBSTITUTE(_xlfn.FORMULATEXT(B25),",",", ")</f>
        <v>=QS.REQUEST.FAIR.RATE(0)</v>
      </c>
      <c r="B26" s="14"/>
      <c r="C26" s="14"/>
    </row>
    <row r="28" spans="1:3" ht="38" customHeight="1">
      <c r="A28" s="4" t="s">
        <v>189</v>
      </c>
      <c r="B28" s="10" cm="1" t="str">
        <f t="array" ref="B28">_xll.QS.REQUEST.FAIR.RATE(1)</f>
        <v/>
      </c>
      <c r="C28" s="7" t="s">
        <v>188</v>
      </c>
    </row>
    <row r="29" spans="1:3" ht="34" customHeight="1">
      <c r="A29" s="14" t="str">
        <f>SUBSTITUTE(_xlfn.FORMULATEXT(B28),",",", ")</f>
        <v>=QS.REQUEST.FAIR.RATE(1)</v>
      </c>
      <c r="B29" s="14"/>
      <c r="C29" s="14"/>
    </row>
    <row r="31" spans="1:3" ht="38" customHeight="1">
      <c r="A31" s="4" t="s">
        <v>190</v>
      </c>
      <c r="B31" s="10" cm="1" t="str">
        <f t="array" ref="B31">_xll.QS.REQUEST.FAIR.RATE(2)</f>
        <v/>
      </c>
      <c r="C31" s="7" t="s">
        <v>188</v>
      </c>
    </row>
    <row r="32" spans="1:3" ht="34" customHeight="1">
      <c r="A32" s="14" t="str">
        <f>SUBSTITUTE(_xlfn.FORMULATEXT(B31),",",", ")</f>
        <v>=QS.REQUEST.FAIR.RATE(2)</v>
      </c>
      <c r="B32" s="14"/>
      <c r="C32" s="14"/>
    </row>
    <row r="34" spans="1:3" ht="24" customHeight="1">
      <c r="A34" s="4" t="s">
        <v>87</v>
      </c>
      <c r="B34" s="4"/>
      <c r="C34" s="4"/>
    </row>
    <row r="35" spans="1:3" ht="24" customHeight="1">
      <c r="A35" s="6" t="s">
        <v>191</v>
      </c>
    </row>
    <row r="37" spans="1:3" ht="38" customHeight="1">
      <c r="A37" s="4" t="s">
        <v>192</v>
      </c>
      <c r="B37" s="10" cm="1" t="str">
        <f t="array" ref="B37">_xll.QS.INSTRUMENT.LOAN("Loan.C01.Instrument",Loan_Start,Loan_Maturity,Loan_Currency,Loan_Notional,Loan_C01_Rate,Loan_C01_Index,Loan_C01_Repayment,Loan_Frequency,Loan_DayCounter,,,,)</f>
        <v/>
      </c>
      <c r="C37" s="7" t="s">
        <v>88</v>
      </c>
    </row>
    <row r="38" spans="1:3" ht="48" customHeight="1">
      <c r="A38" s="14" t="str">
        <f>SUBSTITUTE(_xlfn.FORMULATEXT(B37),",",", ")</f>
        <v>=QS.INSTRUMENT.LOAN("Loan.C01.Instrument", Loan_Start, Loan_Maturity, Loan_Currency, Loan_Notional, Loan_C01_Rate, Loan_C01_Index, Loan_C01_Repayment, Loan_Frequency, Loan_DayCounter, , , , )</v>
      </c>
      <c r="B38" s="14"/>
      <c r="C38" s="14"/>
    </row>
    <row r="40" spans="1:3" ht="38" customHeight="1">
      <c r="A40" s="4" t="s">
        <v>193</v>
      </c>
      <c r="B40" s="10" cm="1" t="str">
        <f t="array" ref="B40">_xll.QS.TRADE.CREATE("Loan.C01.Trade",Loan_C01_Instrument,Loan_ValuationDate,Loan_Side)</f>
        <v/>
      </c>
      <c r="C40" s="7" t="s">
        <v>194</v>
      </c>
    </row>
    <row r="41" spans="1:3" ht="34" customHeight="1">
      <c r="A41" s="14" t="str">
        <f>SUBSTITUTE(_xlfn.FORMULATEXT(B40),",",", ")</f>
        <v>=QS.TRADE.CREATE("Loan.C01.Trade", Loan_C01_Instrument, Loan_ValuationDate, Loan_Side)</v>
      </c>
      <c r="B41" s="14"/>
      <c r="C41" s="14"/>
    </row>
    <row r="43" spans="1:3" ht="38" customHeight="1">
      <c r="A43" s="4" t="s">
        <v>195</v>
      </c>
      <c r="B43" s="10">
        <f>IF(Loan_C01_Discount="FUNDING",Loan_FundingPricer,Loan_RiskFreePricer)</f>
        <v/>
      </c>
      <c r="C43" s="7" t="s">
        <v>196</v>
      </c>
    </row>
    <row r="44" spans="1:3" ht="34" customHeight="1">
      <c r="A44" s="14" t="str">
        <f>SUBSTITUTE(_xlfn.FORMULATEXT(B43),",",", ")</f>
        <v>=IF(Loan_C01_Discount="FUNDING", Loan_FundingPricer, Loan_RiskFreePricer)</v>
      </c>
      <c r="B44" s="14"/>
      <c r="C44" s="14"/>
    </row>
    <row r="46" spans="1:3" ht="38" customHeight="1">
      <c r="A46" s="4" t="s">
        <v>197</v>
      </c>
      <c r="B46" s="10" cm="1" t="str">
        <f t="array" ref="B46">_xll.QS.EVALUATE.RESULTS(Loan_Context,Loan_C01_Trade,Loan_Requests,,Loan_C01_Pricer)</f>
        <v/>
      </c>
      <c r="C46" s="7" t="s">
        <v>198</v>
      </c>
    </row>
    <row r="47" spans="1:3" ht="34" customHeight="1">
      <c r="A47" s="14" t="str">
        <f>SUBSTITUTE(_xlfn.FORMULATEXT(B46),",",", ")</f>
        <v>=QS.EVALUATE.RESULTS(Loan_Context, Loan_C01_Trade, Loan_Requests, , Loan_C01_Pricer)</v>
      </c>
      <c r="B47" s="14"/>
      <c r="C47" s="14"/>
    </row>
    <row r="49" spans="1:3" ht="38" customHeight="1">
      <c r="A49" s="4" t="s">
        <v>199</v>
      </c>
      <c r="B49" s="10" cm="1" t="str">
        <f t="array" ref="B49">_xll.QS.EVALUATE.RESULTS(Loan_Context,Loan_C01_Trade,Loan_Request0,,Loan_C01_Pricer)</f>
        <v/>
      </c>
      <c r="C49" s="7" t="s">
        <v>200</v>
      </c>
    </row>
    <row r="50" spans="1:3" ht="34" customHeight="1">
      <c r="A50" s="14" t="str">
        <f>SUBSTITUTE(_xlfn.FORMULATEXT(B49),",",", ")</f>
        <v>=QS.EVALUATE.RESULTS(Loan_Context, Loan_C01_Trade, Loan_Request0, , Loan_C01_Pricer)</v>
      </c>
      <c r="B50" s="14"/>
      <c r="C50" s="14"/>
    </row>
    <row r="54" spans="1:3" ht="24" customHeight="1">
      <c r="A54" s="4" t="s">
        <v>97</v>
      </c>
      <c r="B54" s="4"/>
      <c r="C54" s="4"/>
    </row>
    <row r="55" spans="1:3" ht="24" customHeight="1">
      <c r="A55" s="6" t="s">
        <v>191</v>
      </c>
    </row>
    <row r="57" spans="1:3" ht="38" customHeight="1">
      <c r="A57" s="4" t="s">
        <v>192</v>
      </c>
      <c r="B57" s="10" cm="1" t="str">
        <f t="array" ref="B57">_xll.QS.INSTRUMENT.LOAN("Loan.C02.Instrument",Loan_Start,Loan_Maturity,Loan_Currency,Loan_Notional,Loan_C02_Rate,Loan_C02_Index,Loan_C02_Repayment,Loan_Frequency,Loan_DayCounter,,,,)</f>
        <v/>
      </c>
      <c r="C57" s="7" t="s">
        <v>98</v>
      </c>
    </row>
    <row r="58" spans="1:3" ht="48" customHeight="1">
      <c r="A58" s="14" t="str">
        <f>SUBSTITUTE(_xlfn.FORMULATEXT(B57),",",", ")</f>
        <v>=QS.INSTRUMENT.LOAN("Loan.C02.Instrument", Loan_Start, Loan_Maturity, Loan_Currency, Loan_Notional, Loan_C02_Rate, Loan_C02_Index, Loan_C02_Repayment, Loan_Frequency, Loan_DayCounter, , , , )</v>
      </c>
      <c r="B58" s="14"/>
      <c r="C58" s="14"/>
    </row>
    <row r="60" spans="1:3" ht="38" customHeight="1">
      <c r="A60" s="4" t="s">
        <v>193</v>
      </c>
      <c r="B60" s="10" cm="1" t="str">
        <f t="array" ref="B60">_xll.QS.TRADE.CREATE("Loan.C02.Trade",Loan_C02_Instrument,Loan_ValuationDate,Loan_Side)</f>
        <v/>
      </c>
      <c r="C60" s="7" t="s">
        <v>194</v>
      </c>
    </row>
    <row r="61" spans="1:3" ht="34" customHeight="1">
      <c r="A61" s="14" t="str">
        <f>SUBSTITUTE(_xlfn.FORMULATEXT(B60),",",", ")</f>
        <v>=QS.TRADE.CREATE("Loan.C02.Trade", Loan_C02_Instrument, Loan_ValuationDate, Loan_Side)</v>
      </c>
      <c r="B61" s="14"/>
      <c r="C61" s="14"/>
    </row>
    <row r="63" spans="1:3" ht="38" customHeight="1">
      <c r="A63" s="4" t="s">
        <v>195</v>
      </c>
      <c r="B63" s="10">
        <f>IF(Loan_C02_Discount="FUNDING",Loan_FundingPricer,Loan_RiskFreePricer)</f>
        <v/>
      </c>
      <c r="C63" s="7" t="s">
        <v>196</v>
      </c>
    </row>
    <row r="64" spans="1:3" ht="34" customHeight="1">
      <c r="A64" s="14" t="str">
        <f>SUBSTITUTE(_xlfn.FORMULATEXT(B63),",",", ")</f>
        <v>=IF(Loan_C02_Discount="FUNDING", Loan_FundingPricer, Loan_RiskFreePricer)</v>
      </c>
      <c r="B64" s="14"/>
      <c r="C64" s="14"/>
    </row>
    <row r="66" spans="1:3" ht="38" customHeight="1">
      <c r="A66" s="4" t="s">
        <v>197</v>
      </c>
      <c r="B66" s="10" cm="1" t="str">
        <f t="array" ref="B66">_xll.QS.EVALUATE.RESULTS(Loan_Context,Loan_C02_Trade,Loan_Requests,,Loan_C02_Pricer)</f>
        <v/>
      </c>
      <c r="C66" s="7" t="s">
        <v>198</v>
      </c>
    </row>
    <row r="67" spans="1:3" ht="34" customHeight="1">
      <c r="A67" s="14" t="str">
        <f>SUBSTITUTE(_xlfn.FORMULATEXT(B66),",",", ")</f>
        <v>=QS.EVALUATE.RESULTS(Loan_Context, Loan_C02_Trade, Loan_Requests, , Loan_C02_Pricer)</v>
      </c>
      <c r="B67" s="14"/>
      <c r="C67" s="14"/>
    </row>
    <row r="69" spans="1:3" ht="38" customHeight="1">
      <c r="A69" s="4" t="s">
        <v>199</v>
      </c>
      <c r="B69" s="10" cm="1" t="str">
        <f t="array" ref="B69">_xll.QS.EVALUATE.RESULTS(Loan_Context,Loan_C02_Trade,Loan_Request0,,Loan_C02_Pricer)</f>
        <v/>
      </c>
      <c r="C69" s="7" t="s">
        <v>200</v>
      </c>
    </row>
    <row r="70" spans="1:3" ht="34" customHeight="1">
      <c r="A70" s="14" t="str">
        <f>SUBSTITUTE(_xlfn.FORMULATEXT(B69),",",", ")</f>
        <v>=QS.EVALUATE.RESULTS(Loan_Context, Loan_C02_Trade, Loan_Request0, , Loan_C02_Pricer)</v>
      </c>
      <c r="B70" s="14"/>
      <c r="C70" s="14"/>
    </row>
    <row r="74" spans="1:3" ht="24" customHeight="1">
      <c r="A74" s="4" t="s">
        <v>100</v>
      </c>
      <c r="B74" s="4"/>
      <c r="C74" s="4"/>
    </row>
    <row r="75" spans="1:3" ht="24" customHeight="1">
      <c r="A75" s="6" t="s">
        <v>191</v>
      </c>
    </row>
    <row r="77" spans="1:3" ht="38" customHeight="1">
      <c r="A77" s="4" t="s">
        <v>201</v>
      </c>
      <c r="B77" s="10" cm="1" t="str">
        <f t="array" ref="B77">_xll.QS.LOAN.SETTINGS("Loan.C03.Options",Loan_C03_Setting_balloonfraction)</f>
        <v/>
      </c>
      <c r="C77" s="7" t="s">
        <v>202</v>
      </c>
    </row>
    <row r="78" spans="1:3" ht="34" customHeight="1">
      <c r="A78" s="14" t="str">
        <f>SUBSTITUTE(_xlfn.FORMULATEXT(B77),",",", ")</f>
        <v>=QS.LOAN.SETTINGS("Loan.C03.Options", Loan_C03_Setting_balloonfraction)</v>
      </c>
      <c r="B78" s="14"/>
      <c r="C78" s="14"/>
    </row>
    <row r="80" spans="1:3" ht="38" customHeight="1">
      <c r="A80" s="4" t="s">
        <v>192</v>
      </c>
      <c r="B80" s="10" cm="1" t="str">
        <f t="array" ref="B80">_xll.QS.INSTRUMENT.LOAN("Loan.C03.Instrument",Loan_Start,Loan_Maturity,Loan_Currency,Loan_Notional,Loan_C03_Rate,Loan_C03_Index,Loan_C03_Repayment,Loan_Frequency,Loan_DayCounter,Loan_C03_Options,,,)</f>
        <v/>
      </c>
      <c r="C80" s="7" t="s">
        <v>101</v>
      </c>
    </row>
    <row r="81" spans="1:3" ht="48" customHeight="1">
      <c r="A81" s="14" t="str">
        <f>SUBSTITUTE(_xlfn.FORMULATEXT(B80),",",", ")</f>
        <v>=QS.INSTRUMENT.LOAN("Loan.C03.Instrument", Loan_Start, Loan_Maturity, Loan_Currency, Loan_Notional, Loan_C03_Rate, Loan_C03_Index, Loan_C03_Repayment, Loan_Frequency, Loan_DayCounter, Loan_C03_Options, , , )</v>
      </c>
      <c r="B81" s="14"/>
      <c r="C81" s="14"/>
    </row>
    <row r="83" spans="1:3" ht="38" customHeight="1">
      <c r="A83" s="4" t="s">
        <v>193</v>
      </c>
      <c r="B83" s="10" cm="1" t="str">
        <f t="array" ref="B83">_xll.QS.TRADE.CREATE("Loan.C03.Trade",Loan_C03_Instrument,Loan_ValuationDate,Loan_Side)</f>
        <v/>
      </c>
      <c r="C83" s="7" t="s">
        <v>194</v>
      </c>
    </row>
    <row r="84" spans="1:3" ht="34" customHeight="1">
      <c r="A84" s="14" t="str">
        <f>SUBSTITUTE(_xlfn.FORMULATEXT(B83),",",", ")</f>
        <v>=QS.TRADE.CREATE("Loan.C03.Trade", Loan_C03_Instrument, Loan_ValuationDate, Loan_Side)</v>
      </c>
      <c r="B84" s="14"/>
      <c r="C84" s="14"/>
    </row>
    <row r="86" spans="1:3" ht="38" customHeight="1">
      <c r="A86" s="4" t="s">
        <v>195</v>
      </c>
      <c r="B86" s="10">
        <f>IF(Loan_C03_Discount="FUNDING",Loan_FundingPricer,Loan_RiskFreePricer)</f>
        <v/>
      </c>
      <c r="C86" s="7" t="s">
        <v>196</v>
      </c>
    </row>
    <row r="87" spans="1:3" ht="34" customHeight="1">
      <c r="A87" s="14" t="str">
        <f>SUBSTITUTE(_xlfn.FORMULATEXT(B86),",",", ")</f>
        <v>=IF(Loan_C03_Discount="FUNDING", Loan_FundingPricer, Loan_RiskFreePricer)</v>
      </c>
      <c r="B87" s="14"/>
      <c r="C87" s="14"/>
    </row>
    <row r="89" spans="1:3" ht="38" customHeight="1">
      <c r="A89" s="4" t="s">
        <v>197</v>
      </c>
      <c r="B89" s="10" cm="1" t="str">
        <f t="array" ref="B89">_xll.QS.EVALUATE.RESULTS(Loan_Context,Loan_C03_Trade,Loan_Requests,,Loan_C03_Pricer)</f>
        <v/>
      </c>
      <c r="C89" s="7" t="s">
        <v>198</v>
      </c>
    </row>
    <row r="90" spans="1:3" ht="34" customHeight="1">
      <c r="A90" s="14" t="str">
        <f>SUBSTITUTE(_xlfn.FORMULATEXT(B89),",",", ")</f>
        <v>=QS.EVALUATE.RESULTS(Loan_Context, Loan_C03_Trade, Loan_Requests, , Loan_C03_Pricer)</v>
      </c>
      <c r="B90" s="14"/>
      <c r="C90" s="14"/>
    </row>
    <row r="92" spans="1:3" ht="38" customHeight="1">
      <c r="A92" s="4" t="s">
        <v>199</v>
      </c>
      <c r="B92" s="10" cm="1" t="str">
        <f t="array" ref="B92">_xll.QS.EVALUATE.RESULTS(Loan_Context,Loan_C03_Trade,Loan_Request0,,Loan_C03_Pricer)</f>
        <v/>
      </c>
      <c r="C92" s="7" t="s">
        <v>200</v>
      </c>
    </row>
    <row r="93" spans="1:3" ht="34" customHeight="1">
      <c r="A93" s="14" t="str">
        <f>SUBSTITUTE(_xlfn.FORMULATEXT(B92),",",", ")</f>
        <v>=QS.EVALUATE.RESULTS(Loan_Context, Loan_C03_Trade, Loan_Request0, , Loan_C03_Pricer)</v>
      </c>
      <c r="B93" s="14"/>
      <c r="C93" s="14"/>
    </row>
    <row r="97" spans="1:3" ht="24" customHeight="1">
      <c r="A97" s="4" t="s">
        <v>105</v>
      </c>
      <c r="B97" s="4"/>
      <c r="C97" s="4"/>
    </row>
    <row r="98" spans="1:3" ht="24" customHeight="1">
      <c r="A98" s="6" t="s">
        <v>191</v>
      </c>
    </row>
    <row r="100" spans="1:3" ht="38" customHeight="1">
      <c r="A100" s="4" t="s">
        <v>201</v>
      </c>
      <c r="B100" s="10" cm="1" t="str">
        <f t="array" ref="B100">_xll.QS.LOAN.SETTINGS("Loan.C04.Options",,Loan_C04_Setting_amortizationrate)</f>
        <v/>
      </c>
      <c r="C100" s="7" t="s">
        <v>202</v>
      </c>
    </row>
    <row r="101" spans="1:3" ht="34" customHeight="1">
      <c r="A101" s="14" t="str">
        <f>SUBSTITUTE(_xlfn.FORMULATEXT(B100),",",", ")</f>
        <v>=QS.LOAN.SETTINGS("Loan.C04.Options", , Loan_C04_Setting_amortizationrate)</v>
      </c>
      <c r="B101" s="14"/>
      <c r="C101" s="14"/>
    </row>
    <row r="103" spans="1:3" ht="38" customHeight="1">
      <c r="A103" s="4" t="s">
        <v>192</v>
      </c>
      <c r="B103" s="10" cm="1" t="str">
        <f t="array" ref="B103">_xll.QS.INSTRUMENT.LOAN("Loan.C04.Instrument",Loan_Start,Loan_Maturity,Loan_Currency,Loan_Notional,Loan_C04_Rate,Loan_C04_Index,Loan_C04_Repayment,Loan_Frequency,Loan_DayCounter,Loan_C04_Options,,,)</f>
        <v/>
      </c>
      <c r="C103" s="7" t="s">
        <v>106</v>
      </c>
    </row>
    <row r="104" spans="1:3" ht="48" customHeight="1">
      <c r="A104" s="14" t="str">
        <f>SUBSTITUTE(_xlfn.FORMULATEXT(B103),",",", ")</f>
        <v>=QS.INSTRUMENT.LOAN("Loan.C04.Instrument", Loan_Start, Loan_Maturity, Loan_Currency, Loan_Notional, Loan_C04_Rate, Loan_C04_Index, Loan_C04_Repayment, Loan_Frequency, Loan_DayCounter, Loan_C04_Options, , , )</v>
      </c>
      <c r="B104" s="14"/>
      <c r="C104" s="14"/>
    </row>
    <row r="106" spans="1:3" ht="38" customHeight="1">
      <c r="A106" s="4" t="s">
        <v>193</v>
      </c>
      <c r="B106" s="10" cm="1" t="str">
        <f t="array" ref="B106">_xll.QS.TRADE.CREATE("Loan.C04.Trade",Loan_C04_Instrument,Loan_ValuationDate,Loan_Side)</f>
        <v/>
      </c>
      <c r="C106" s="7" t="s">
        <v>194</v>
      </c>
    </row>
    <row r="107" spans="1:3" ht="34" customHeight="1">
      <c r="A107" s="14" t="str">
        <f>SUBSTITUTE(_xlfn.FORMULATEXT(B106),",",", ")</f>
        <v>=QS.TRADE.CREATE("Loan.C04.Trade", Loan_C04_Instrument, Loan_ValuationDate, Loan_Side)</v>
      </c>
      <c r="B107" s="14"/>
      <c r="C107" s="14"/>
    </row>
    <row r="109" spans="1:3" ht="38" customHeight="1">
      <c r="A109" s="4" t="s">
        <v>195</v>
      </c>
      <c r="B109" s="10">
        <f>IF(Loan_C04_Discount="FUNDING",Loan_FundingPricer,Loan_RiskFreePricer)</f>
        <v/>
      </c>
      <c r="C109" s="7" t="s">
        <v>196</v>
      </c>
    </row>
    <row r="110" spans="1:3" ht="34" customHeight="1">
      <c r="A110" s="14" t="str">
        <f>SUBSTITUTE(_xlfn.FORMULATEXT(B109),",",", ")</f>
        <v>=IF(Loan_C04_Discount="FUNDING", Loan_FundingPricer, Loan_RiskFreePricer)</v>
      </c>
      <c r="B110" s="14"/>
      <c r="C110" s="14"/>
    </row>
    <row r="112" spans="1:3" ht="38" customHeight="1">
      <c r="A112" s="4" t="s">
        <v>197</v>
      </c>
      <c r="B112" s="10" cm="1" t="str">
        <f t="array" ref="B112">_xll.QS.EVALUATE.RESULTS(Loan_Context,Loan_C04_Trade,Loan_Requests,,Loan_C04_Pricer)</f>
        <v/>
      </c>
      <c r="C112" s="7" t="s">
        <v>198</v>
      </c>
    </row>
    <row r="113" spans="1:3" ht="34" customHeight="1">
      <c r="A113" s="14" t="str">
        <f>SUBSTITUTE(_xlfn.FORMULATEXT(B112),",",", ")</f>
        <v>=QS.EVALUATE.RESULTS(Loan_Context, Loan_C04_Trade, Loan_Requests, , Loan_C04_Pricer)</v>
      </c>
      <c r="B113" s="14"/>
      <c r="C113" s="14"/>
    </row>
    <row r="115" spans="1:3" ht="38" customHeight="1">
      <c r="A115" s="4" t="s">
        <v>199</v>
      </c>
      <c r="B115" s="10" cm="1" t="str">
        <f t="array" ref="B115">_xll.QS.EVALUATE.RESULTS(Loan_Context,Loan_C04_Trade,Loan_Request0,,Loan_C04_Pricer)</f>
        <v/>
      </c>
      <c r="C115" s="7" t="s">
        <v>200</v>
      </c>
    </row>
    <row r="116" spans="1:3" ht="34" customHeight="1">
      <c r="A116" s="14" t="str">
        <f>SUBSTITUTE(_xlfn.FORMULATEXT(B115),",",", ")</f>
        <v>=QS.EVALUATE.RESULTS(Loan_Context, Loan_C04_Trade, Loan_Request0, , Loan_C04_Pricer)</v>
      </c>
      <c r="B116" s="14"/>
      <c r="C116" s="14"/>
    </row>
    <row r="120" spans="1:3" ht="24" customHeight="1">
      <c r="A120" s="4" t="s">
        <v>109</v>
      </c>
      <c r="B120" s="4"/>
      <c r="C120" s="4"/>
    </row>
    <row r="121" spans="1:3" ht="24" customHeight="1">
      <c r="A121" s="6" t="s">
        <v>191</v>
      </c>
    </row>
    <row r="123" spans="1:3" ht="38" customHeight="1">
      <c r="A123" s="4" t="s">
        <v>192</v>
      </c>
      <c r="B123" s="10" cm="1" t="str">
        <f t="array" ref="B123">_xll.QS.INSTRUMENT.LOAN("Loan.C05.Instrument",Loan_Start,Loan_Maturity,Loan_Currency,Loan_Notional,Loan_C05_Rate,Loan_C05_Index,Loan_C05_Repayment,Loan_Frequency,Loan_DayCounter,,Loan_C05_CouponPeriods,Loan_C05_CouponRates,Loan_C05_CouponIndices)</f>
        <v/>
      </c>
      <c r="C123" s="7" t="s">
        <v>110</v>
      </c>
    </row>
    <row r="124" spans="1:3" ht="48" customHeight="1">
      <c r="A124" s="14" t="str">
        <f>SUBSTITUTE(_xlfn.FORMULATEXT(B123),",",", ")</f>
        <v>=QS.INSTRUMENT.LOAN("Loan.C05.Instrument", Loan_Start, Loan_Maturity, Loan_Currency, Loan_Notional, Loan_C05_Rate, Loan_C05_Index, Loan_C05_Repayment, Loan_Frequency, Loan_DayCounter, , Loan_C05_CouponPeriods, Loan_C05_CouponRates, Loan_C05_CouponIndices)</v>
      </c>
      <c r="B124" s="14"/>
      <c r="C124" s="14"/>
    </row>
    <row r="126" spans="1:3" ht="38" customHeight="1">
      <c r="A126" s="4" t="s">
        <v>193</v>
      </c>
      <c r="B126" s="10" cm="1" t="str">
        <f t="array" ref="B126">_xll.QS.TRADE.CREATE("Loan.C05.Trade",Loan_C05_Instrument,Loan_ValuationDate,Loan_Side)</f>
        <v/>
      </c>
      <c r="C126" s="7" t="s">
        <v>194</v>
      </c>
    </row>
    <row r="127" spans="1:3" ht="34" customHeight="1">
      <c r="A127" s="14" t="str">
        <f>SUBSTITUTE(_xlfn.FORMULATEXT(B126),",",", ")</f>
        <v>=QS.TRADE.CREATE("Loan.C05.Trade", Loan_C05_Instrument, Loan_ValuationDate, Loan_Side)</v>
      </c>
      <c r="B127" s="14"/>
      <c r="C127" s="14"/>
    </row>
    <row r="129" spans="1:3" ht="38" customHeight="1">
      <c r="A129" s="4" t="s">
        <v>195</v>
      </c>
      <c r="B129" s="10">
        <f>IF(Loan_C05_Discount="FUNDING",Loan_FundingPricer,Loan_RiskFreePricer)</f>
        <v/>
      </c>
      <c r="C129" s="7" t="s">
        <v>196</v>
      </c>
    </row>
    <row r="130" spans="1:3" ht="34" customHeight="1">
      <c r="A130" s="14" t="str">
        <f>SUBSTITUTE(_xlfn.FORMULATEXT(B129),",",", ")</f>
        <v>=IF(Loan_C05_Discount="FUNDING", Loan_FundingPricer, Loan_RiskFreePricer)</v>
      </c>
      <c r="B130" s="14"/>
      <c r="C130" s="14"/>
    </row>
    <row r="132" spans="1:3" ht="38" customHeight="1">
      <c r="A132" s="4" t="s">
        <v>197</v>
      </c>
      <c r="B132" s="10" cm="1" t="str">
        <f t="array" ref="B132">_xll.QS.EVALUATE.RESULTS(Loan_Context,Loan_C05_Trade,Loan_Requests,,Loan_C05_Pricer)</f>
        <v/>
      </c>
      <c r="C132" s="7" t="s">
        <v>198</v>
      </c>
    </row>
    <row r="133" spans="1:3" ht="34" customHeight="1">
      <c r="A133" s="14" t="str">
        <f>SUBSTITUTE(_xlfn.FORMULATEXT(B132),",",", ")</f>
        <v>=QS.EVALUATE.RESULTS(Loan_Context, Loan_C05_Trade, Loan_Requests, , Loan_C05_Pricer)</v>
      </c>
      <c r="B133" s="14"/>
      <c r="C133" s="14"/>
    </row>
    <row r="135" spans="1:3" ht="38" customHeight="1">
      <c r="A135" s="4" t="s">
        <v>199</v>
      </c>
      <c r="B135" s="10" cm="1" t="str">
        <f t="array" ref="B135">_xll.QS.EVALUATE.RESULTS(Loan_Context,Loan_C05_Trade,Loan_Request0,,Loan_C05_Pricer)</f>
        <v/>
      </c>
      <c r="C135" s="7" t="s">
        <v>200</v>
      </c>
    </row>
    <row r="136" spans="1:3" ht="34" customHeight="1">
      <c r="A136" s="14" t="str">
        <f>SUBSTITUTE(_xlfn.FORMULATEXT(B135),",",", ")</f>
        <v>=QS.EVALUATE.RESULTS(Loan_Context, Loan_C05_Trade, Loan_Request0, , Loan_C05_Pricer)</v>
      </c>
      <c r="B136" s="14"/>
      <c r="C136" s="14"/>
    </row>
    <row r="138" spans="1:3" ht="38" customHeight="1">
      <c r="A138" s="4" t="s">
        <v>203</v>
      </c>
      <c r="B138" s="10" cm="1" t="str">
        <f t="array" ref="B138">_xll.QS.EVALUATE.RESULTS(Loan_Context,Loan_C05_Trade,Loan_Request1,,Loan_C05_Pricer)</f>
        <v/>
      </c>
      <c r="C138" s="7" t="s">
        <v>200</v>
      </c>
    </row>
    <row r="139" spans="1:3" ht="34" customHeight="1">
      <c r="A139" s="14" t="str">
        <f>SUBSTITUTE(_xlfn.FORMULATEXT(B138),",",", ")</f>
        <v>=QS.EVALUATE.RESULTS(Loan_Context, Loan_C05_Trade, Loan_Request1, , Loan_C05_Pricer)</v>
      </c>
      <c r="B139" s="14"/>
      <c r="C139" s="14"/>
    </row>
    <row r="143" spans="1:3" ht="24" customHeight="1">
      <c r="A143" s="4" t="s">
        <v>115</v>
      </c>
      <c r="B143" s="4"/>
      <c r="C143" s="4"/>
    </row>
    <row r="144" spans="1:3" ht="24" customHeight="1">
      <c r="A144" s="6" t="s">
        <v>191</v>
      </c>
    </row>
    <row r="146" spans="1:3" ht="38" customHeight="1">
      <c r="A146" s="4" t="s">
        <v>201</v>
      </c>
      <c r="B146" s="10" cm="1" t="str">
        <f t="array" ref="B146">_xll.QS.LOAN.SETTINGS("Loan.C06.Options",,Loan_C06_Setting_amortizationrate,,,,,,,,Loan_C06_Setting_floor,Loan_C06_Setting_cap)</f>
        <v/>
      </c>
      <c r="C146" s="7" t="s">
        <v>202</v>
      </c>
    </row>
    <row r="147" spans="1:3" ht="34" customHeight="1">
      <c r="A147" s="14" t="str">
        <f>SUBSTITUTE(_xlfn.FORMULATEXT(B146),",",", ")</f>
        <v>=QS.LOAN.SETTINGS("Loan.C06.Options", , Loan_C06_Setting_amortizationrate, , , , , , , , Loan_C06_Setting_floor, Loan_C06_Setting_cap)</v>
      </c>
      <c r="B147" s="14"/>
      <c r="C147" s="14"/>
    </row>
    <row r="149" spans="1:3" ht="38" customHeight="1">
      <c r="A149" s="4" t="s">
        <v>192</v>
      </c>
      <c r="B149" s="10" cm="1" t="str">
        <f t="array" ref="B149">_xll.QS.INSTRUMENT.LOAN("Loan.C06.Instrument",Loan_Start,Loan_Maturity,Loan_Currency,Loan_Notional,Loan_C06_Rate,Loan_C06_Index,Loan_C06_Repayment,Loan_Frequency,Loan_DayCounter,Loan_C06_Options,,,)</f>
        <v/>
      </c>
      <c r="C149" s="7" t="s">
        <v>116</v>
      </c>
    </row>
    <row r="150" spans="1:3" ht="48" customHeight="1">
      <c r="A150" s="14" t="str">
        <f>SUBSTITUTE(_xlfn.FORMULATEXT(B149),",",", ")</f>
        <v>=QS.INSTRUMENT.LOAN("Loan.C06.Instrument", Loan_Start, Loan_Maturity, Loan_Currency, Loan_Notional, Loan_C06_Rate, Loan_C06_Index, Loan_C06_Repayment, Loan_Frequency, Loan_DayCounter, Loan_C06_Options, , , )</v>
      </c>
      <c r="B150" s="14"/>
      <c r="C150" s="14"/>
    </row>
    <row r="152" spans="1:3" ht="38" customHeight="1">
      <c r="A152" s="4" t="s">
        <v>193</v>
      </c>
      <c r="B152" s="10" cm="1" t="str">
        <f t="array" ref="B152">_xll.QS.TRADE.CREATE("Loan.C06.Trade",Loan_C06_Instrument,Loan_ValuationDate,Loan_Side)</f>
        <v/>
      </c>
      <c r="C152" s="7" t="s">
        <v>194</v>
      </c>
    </row>
    <row r="153" spans="1:3" ht="34" customHeight="1">
      <c r="A153" s="14" t="str">
        <f>SUBSTITUTE(_xlfn.FORMULATEXT(B152),",",", ")</f>
        <v>=QS.TRADE.CREATE("Loan.C06.Trade", Loan_C06_Instrument, Loan_ValuationDate, Loan_Side)</v>
      </c>
      <c r="B153" s="14"/>
      <c r="C153" s="14"/>
    </row>
    <row r="155" spans="1:3" ht="38" customHeight="1">
      <c r="A155" s="4" t="s">
        <v>195</v>
      </c>
      <c r="B155" s="10">
        <f>IF(Loan_C06_Discount="FUNDING",Loan_FundingPricer,Loan_RiskFreePricer)</f>
        <v/>
      </c>
      <c r="C155" s="7" t="s">
        <v>196</v>
      </c>
    </row>
    <row r="156" spans="1:3" ht="34" customHeight="1">
      <c r="A156" s="14" t="str">
        <f>SUBSTITUTE(_xlfn.FORMULATEXT(B155),",",", ")</f>
        <v>=IF(Loan_C06_Discount="FUNDING", Loan_FundingPricer, Loan_RiskFreePricer)</v>
      </c>
      <c r="B156" s="14"/>
      <c r="C156" s="14"/>
    </row>
    <row r="158" spans="1:3" ht="38" customHeight="1">
      <c r="A158" s="4" t="s">
        <v>197</v>
      </c>
      <c r="B158" s="10" cm="1" t="str">
        <f t="array" ref="B158">_xll.QS.EVALUATE.RESULTS(Loan_Context,Loan_C06_Trade,Loan_Requests,,Loan_C06_Pricer)</f>
        <v/>
      </c>
      <c r="C158" s="7" t="s">
        <v>198</v>
      </c>
    </row>
    <row r="159" spans="1:3" ht="34" customHeight="1">
      <c r="A159" s="14" t="str">
        <f>SUBSTITUTE(_xlfn.FORMULATEXT(B158),",",", ")</f>
        <v>=QS.EVALUATE.RESULTS(Loan_Context, Loan_C06_Trade, Loan_Requests, , Loan_C06_Pricer)</v>
      </c>
      <c r="B159" s="14"/>
      <c r="C159" s="14"/>
    </row>
    <row r="163" spans="1:3" ht="24" customHeight="1">
      <c r="A163" s="4" t="s">
        <v>119</v>
      </c>
      <c r="B163" s="4"/>
      <c r="C163" s="4"/>
    </row>
    <row r="164" spans="1:3" ht="24" customHeight="1">
      <c r="A164" s="6" t="s">
        <v>191</v>
      </c>
    </row>
    <row r="166" spans="1:3" ht="38" customHeight="1">
      <c r="A166" s="4" t="s">
        <v>201</v>
      </c>
      <c r="B166" s="10" cm="1" t="str">
        <f t="array" ref="B166">_xll.QS.LOAN.SETTINGS("Loan.C07.Options",,,,,,,,,,,,,,Loan_C07_Setting_annualcpr)</f>
        <v/>
      </c>
      <c r="C166" s="7" t="s">
        <v>202</v>
      </c>
    </row>
    <row r="167" spans="1:3" ht="34" customHeight="1">
      <c r="A167" s="14" t="str">
        <f>SUBSTITUTE(_xlfn.FORMULATEXT(B166),",",", ")</f>
        <v>=QS.LOAN.SETTINGS("Loan.C07.Options", , , , , , , , , , , , , , Loan_C07_Setting_annualcpr)</v>
      </c>
      <c r="B167" s="14"/>
      <c r="C167" s="14"/>
    </row>
    <row r="169" spans="1:3" ht="38" customHeight="1">
      <c r="A169" s="4" t="s">
        <v>192</v>
      </c>
      <c r="B169" s="10" cm="1" t="str">
        <f t="array" ref="B169">_xll.QS.INSTRUMENT.LOAN("Loan.C07.Instrument",Loan_Start,Loan_Maturity,Loan_Currency,Loan_Notional,Loan_C07_Rate,Loan_C07_Index,Loan_C07_Repayment,Loan_Frequency,Loan_DayCounter,Loan_C07_Options,,,)</f>
        <v/>
      </c>
      <c r="C169" s="7" t="s">
        <v>120</v>
      </c>
    </row>
    <row r="170" spans="1:3" ht="48" customHeight="1">
      <c r="A170" s="14" t="str">
        <f>SUBSTITUTE(_xlfn.FORMULATEXT(B169),",",", ")</f>
        <v>=QS.INSTRUMENT.LOAN("Loan.C07.Instrument", Loan_Start, Loan_Maturity, Loan_Currency, Loan_Notional, Loan_C07_Rate, Loan_C07_Index, Loan_C07_Repayment, Loan_Frequency, Loan_DayCounter, Loan_C07_Options, , , )</v>
      </c>
      <c r="B170" s="14"/>
      <c r="C170" s="14"/>
    </row>
    <row r="172" spans="1:3" ht="38" customHeight="1">
      <c r="A172" s="4" t="s">
        <v>193</v>
      </c>
      <c r="B172" s="10" cm="1" t="str">
        <f t="array" ref="B172">_xll.QS.TRADE.CREATE("Loan.C07.Trade",Loan_C07_Instrument,Loan_ValuationDate,Loan_Side)</f>
        <v/>
      </c>
      <c r="C172" s="7" t="s">
        <v>194</v>
      </c>
    </row>
    <row r="173" spans="1:3" ht="34" customHeight="1">
      <c r="A173" s="14" t="str">
        <f>SUBSTITUTE(_xlfn.FORMULATEXT(B172),",",", ")</f>
        <v>=QS.TRADE.CREATE("Loan.C07.Trade", Loan_C07_Instrument, Loan_ValuationDate, Loan_Side)</v>
      </c>
      <c r="B173" s="14"/>
      <c r="C173" s="14"/>
    </row>
    <row r="175" spans="1:3" ht="38" customHeight="1">
      <c r="A175" s="4" t="s">
        <v>195</v>
      </c>
      <c r="B175" s="10">
        <f>IF(Loan_C07_Discount="FUNDING",Loan_FundingPricer,Loan_RiskFreePricer)</f>
        <v/>
      </c>
      <c r="C175" s="7" t="s">
        <v>196</v>
      </c>
    </row>
    <row r="176" spans="1:3" ht="34" customHeight="1">
      <c r="A176" s="14" t="str">
        <f>SUBSTITUTE(_xlfn.FORMULATEXT(B175),",",", ")</f>
        <v>=IF(Loan_C07_Discount="FUNDING", Loan_FundingPricer, Loan_RiskFreePricer)</v>
      </c>
      <c r="B176" s="14"/>
      <c r="C176" s="14"/>
    </row>
    <row r="178" spans="1:3" ht="38" customHeight="1">
      <c r="A178" s="4" t="s">
        <v>197</v>
      </c>
      <c r="B178" s="10" cm="1" t="str">
        <f t="array" ref="B178">_xll.QS.EVALUATE.RESULTS(Loan_Context,Loan_C07_Trade,Loan_Requests,,Loan_C07_Pricer)</f>
        <v/>
      </c>
      <c r="C178" s="7" t="s">
        <v>198</v>
      </c>
    </row>
    <row r="179" spans="1:3" ht="34" customHeight="1">
      <c r="A179" s="14" t="str">
        <f>SUBSTITUTE(_xlfn.FORMULATEXT(B178),",",", ")</f>
        <v>=QS.EVALUATE.RESULTS(Loan_Context, Loan_C07_Trade, Loan_Requests, , Loan_C07_Pricer)</v>
      </c>
      <c r="B179" s="14"/>
      <c r="C179" s="14"/>
    </row>
    <row r="181" spans="1:3" ht="38" customHeight="1">
      <c r="A181" s="4" t="s">
        <v>199</v>
      </c>
      <c r="B181" s="10" cm="1" t="str">
        <f t="array" ref="B181">_xll.QS.EVALUATE.RESULTS(Loan_Context,Loan_C07_Trade,Loan_Request0,,Loan_C07_Pricer)</f>
        <v/>
      </c>
      <c r="C181" s="7" t="s">
        <v>200</v>
      </c>
    </row>
    <row r="182" spans="1:3" ht="34" customHeight="1">
      <c r="A182" s="14" t="str">
        <f>SUBSTITUTE(_xlfn.FORMULATEXT(B181),",",", ")</f>
        <v>=QS.EVALUATE.RESULTS(Loan_Context, Loan_C07_Trade, Loan_Request0, , Loan_C07_Pricer)</v>
      </c>
      <c r="B182" s="14"/>
      <c r="C182" s="14"/>
    </row>
    <row r="186" spans="1:3" ht="24" customHeight="1">
      <c r="A186" s="4" t="s">
        <v>122</v>
      </c>
      <c r="B186" s="4"/>
      <c r="C186" s="4"/>
    </row>
    <row r="187" spans="1:3" ht="24" customHeight="1">
      <c r="A187" s="6" t="s">
        <v>191</v>
      </c>
    </row>
    <row r="189" spans="1:3" ht="38" customHeight="1">
      <c r="A189" s="4" t="s">
        <v>201</v>
      </c>
      <c r="B189" s="10" cm="1" t="str">
        <f t="array" ref="B189">_xll.QS.LOAN.SETTINGS("Loan.C08.Options",,,Loan_C08_Setting_creditindex,Loan_C08_Setting_recovery)</f>
        <v/>
      </c>
      <c r="C189" s="7" t="s">
        <v>202</v>
      </c>
    </row>
    <row r="190" spans="1:3" ht="34" customHeight="1">
      <c r="A190" s="14" t="str">
        <f>SUBSTITUTE(_xlfn.FORMULATEXT(B189),",",", ")</f>
        <v>=QS.LOAN.SETTINGS("Loan.C08.Options", , , Loan_C08_Setting_creditindex, Loan_C08_Setting_recovery)</v>
      </c>
      <c r="B190" s="14"/>
      <c r="C190" s="14"/>
    </row>
    <row r="192" spans="1:3" ht="38" customHeight="1">
      <c r="A192" s="4" t="s">
        <v>192</v>
      </c>
      <c r="B192" s="10" cm="1" t="str">
        <f t="array" ref="B192">_xll.QS.INSTRUMENT.LOAN("Loan.C08.Instrument",Loan_Start,Loan_Maturity,Loan_Currency,Loan_Notional,Loan_C08_Rate,Loan_C08_Index,Loan_C08_Repayment,Loan_Frequency,Loan_DayCounter,Loan_C08_Options,,,)</f>
        <v/>
      </c>
      <c r="C192" s="7" t="s">
        <v>123</v>
      </c>
    </row>
    <row r="193" spans="1:3" ht="48" customHeight="1">
      <c r="A193" s="14" t="str">
        <f>SUBSTITUTE(_xlfn.FORMULATEXT(B192),",",", ")</f>
        <v>=QS.INSTRUMENT.LOAN("Loan.C08.Instrument", Loan_Start, Loan_Maturity, Loan_Currency, Loan_Notional, Loan_C08_Rate, Loan_C08_Index, Loan_C08_Repayment, Loan_Frequency, Loan_DayCounter, Loan_C08_Options, , , )</v>
      </c>
      <c r="B193" s="14"/>
      <c r="C193" s="14"/>
    </row>
    <row r="195" spans="1:3" ht="38" customHeight="1">
      <c r="A195" s="4" t="s">
        <v>193</v>
      </c>
      <c r="B195" s="10" cm="1" t="str">
        <f t="array" ref="B195">_xll.QS.TRADE.CREATE("Loan.C08.Trade",Loan_C08_Instrument,Loan_ValuationDate,Loan_Side)</f>
        <v/>
      </c>
      <c r="C195" s="7" t="s">
        <v>194</v>
      </c>
    </row>
    <row r="196" spans="1:3" ht="34" customHeight="1">
      <c r="A196" s="14" t="str">
        <f>SUBSTITUTE(_xlfn.FORMULATEXT(B195),",",", ")</f>
        <v>=QS.TRADE.CREATE("Loan.C08.Trade", Loan_C08_Instrument, Loan_ValuationDate, Loan_Side)</v>
      </c>
      <c r="B196" s="14"/>
      <c r="C196" s="14"/>
    </row>
    <row r="198" spans="1:3" ht="38" customHeight="1">
      <c r="A198" s="4" t="s">
        <v>195</v>
      </c>
      <c r="B198" s="10">
        <f>IF(Loan_C08_Discount="FUNDING",Loan_FundingPricer,Loan_RiskFreePricer)</f>
        <v/>
      </c>
      <c r="C198" s="7" t="s">
        <v>196</v>
      </c>
    </row>
    <row r="199" spans="1:3" ht="34" customHeight="1">
      <c r="A199" s="14" t="str">
        <f>SUBSTITUTE(_xlfn.FORMULATEXT(B198),",",", ")</f>
        <v>=IF(Loan_C08_Discount="FUNDING", Loan_FundingPricer, Loan_RiskFreePricer)</v>
      </c>
      <c r="B199" s="14"/>
      <c r="C199" s="14"/>
    </row>
    <row r="201" spans="1:3" ht="38" customHeight="1">
      <c r="A201" s="4" t="s">
        <v>197</v>
      </c>
      <c r="B201" s="10" cm="1" t="str">
        <f t="array" ref="B201">_xll.QS.EVALUATE.RESULTS(Loan_Context,Loan_C08_Trade,Loan_Requests,,Loan_C08_Pricer)</f>
        <v/>
      </c>
      <c r="C201" s="7" t="s">
        <v>198</v>
      </c>
    </row>
    <row r="202" spans="1:3" ht="34" customHeight="1">
      <c r="A202" s="14" t="str">
        <f>SUBSTITUTE(_xlfn.FORMULATEXT(B201),",",", ")</f>
        <v>=QS.EVALUATE.RESULTS(Loan_Context, Loan_C08_Trade, Loan_Requests, , Loan_C08_Pricer)</v>
      </c>
      <c r="B202" s="14"/>
      <c r="C202" s="14"/>
    </row>
    <row r="204" spans="1:3" ht="38" customHeight="1">
      <c r="A204" s="4" t="s">
        <v>199</v>
      </c>
      <c r="B204" s="10" cm="1" t="str">
        <f t="array" ref="B204">_xll.QS.EVALUATE.RESULTS(Loan_Context,Loan_C08_Trade,Loan_Request0,,Loan_C08_Pricer)</f>
        <v/>
      </c>
      <c r="C204" s="7" t="s">
        <v>200</v>
      </c>
    </row>
    <row r="205" spans="1:3" ht="34" customHeight="1">
      <c r="A205" s="14" t="str">
        <f>SUBSTITUTE(_xlfn.FORMULATEXT(B204),",",", ")</f>
        <v>=QS.EVALUATE.RESULTS(Loan_Context, Loan_C08_Trade, Loan_Request0, , Loan_C08_Pricer)</v>
      </c>
      <c r="B205" s="14"/>
      <c r="C205" s="14"/>
    </row>
    <row r="209" spans="1:3" ht="24" customHeight="1">
      <c r="A209" s="4" t="s">
        <v>127</v>
      </c>
      <c r="B209" s="4"/>
      <c r="C209" s="4"/>
    </row>
    <row r="210" spans="1:3" ht="24" customHeight="1">
      <c r="A210" s="6" t="s">
        <v>191</v>
      </c>
    </row>
    <row r="212" spans="1:3" ht="38" customHeight="1">
      <c r="A212" s="4" t="s">
        <v>192</v>
      </c>
      <c r="B212" s="10" cm="1" t="str">
        <f t="array" ref="B212">_xll.QS.INSTRUMENT.LOAN("Loan.C09.Instrument",Loan_Start,Loan_Maturity,Loan_Currency,Loan_Notional,Loan_C09_Rate,Loan_C09_Index,Loan_C09_Repayment,Loan_Frequency,Loan_DayCounter,,,,)</f>
        <v/>
      </c>
      <c r="C212" s="7" t="s">
        <v>128</v>
      </c>
    </row>
    <row r="213" spans="1:3" ht="48" customHeight="1">
      <c r="A213" s="14" t="str">
        <f>SUBSTITUTE(_xlfn.FORMULATEXT(B212),",",", ")</f>
        <v>=QS.INSTRUMENT.LOAN("Loan.C09.Instrument", Loan_Start, Loan_Maturity, Loan_Currency, Loan_Notional, Loan_C09_Rate, Loan_C09_Index, Loan_C09_Repayment, Loan_Frequency, Loan_DayCounter, , , , )</v>
      </c>
      <c r="B213" s="14"/>
      <c r="C213" s="14"/>
    </row>
    <row r="215" spans="1:3" ht="38" customHeight="1">
      <c r="A215" s="4" t="s">
        <v>193</v>
      </c>
      <c r="B215" s="10" cm="1" t="str">
        <f t="array" ref="B215">_xll.QS.TRADE.CREATE("Loan.C09.Trade",Loan_C09_Instrument,Loan_ValuationDate,Loan_Side)</f>
        <v/>
      </c>
      <c r="C215" s="7" t="s">
        <v>194</v>
      </c>
    </row>
    <row r="216" spans="1:3" ht="34" customHeight="1">
      <c r="A216" s="14" t="str">
        <f>SUBSTITUTE(_xlfn.FORMULATEXT(B215),",",", ")</f>
        <v>=QS.TRADE.CREATE("Loan.C09.Trade", Loan_C09_Instrument, Loan_ValuationDate, Loan_Side)</v>
      </c>
      <c r="B216" s="14"/>
      <c r="C216" s="14"/>
    </row>
    <row r="218" spans="1:3" ht="38" customHeight="1">
      <c r="A218" s="4" t="s">
        <v>195</v>
      </c>
      <c r="B218" s="10">
        <f>IF(Loan_C09_Discount="FUNDING",Loan_FundingPricer,Loan_RiskFreePricer)</f>
        <v/>
      </c>
      <c r="C218" s="7" t="s">
        <v>196</v>
      </c>
    </row>
    <row r="219" spans="1:3" ht="34" customHeight="1">
      <c r="A219" s="14" t="str">
        <f>SUBSTITUTE(_xlfn.FORMULATEXT(B218),",",", ")</f>
        <v>=IF(Loan_C09_Discount="FUNDING", Loan_FundingPricer, Loan_RiskFreePricer)</v>
      </c>
      <c r="B219" s="14"/>
      <c r="C219" s="14"/>
    </row>
    <row r="221" spans="1:3" ht="38" customHeight="1">
      <c r="A221" s="4" t="s">
        <v>197</v>
      </c>
      <c r="B221" s="10" cm="1" t="str">
        <f t="array" ref="B221">_xll.QS.EVALUATE.RESULTS(Loan_Context,Loan_C09_Trade,Loan_Requests,,Loan_C09_Pricer)</f>
        <v/>
      </c>
      <c r="C221" s="7" t="s">
        <v>198</v>
      </c>
    </row>
    <row r="222" spans="1:3" ht="34" customHeight="1">
      <c r="A222" s="14" t="str">
        <f>SUBSTITUTE(_xlfn.FORMULATEXT(B221),",",", ")</f>
        <v>=QS.EVALUATE.RESULTS(Loan_Context, Loan_C09_Trade, Loan_Requests, , Loan_C09_Pricer)</v>
      </c>
      <c r="B222" s="14"/>
      <c r="C222" s="14"/>
    </row>
    <row r="224" spans="1:3" ht="38" customHeight="1">
      <c r="A224" s="4" t="s">
        <v>199</v>
      </c>
      <c r="B224" s="10" cm="1" t="str">
        <f t="array" ref="B224">_xll.QS.EVALUATE.RESULTS(Loan_Context,Loan_C09_Trade,Loan_Request0,,Loan_C09_Pricer)</f>
        <v/>
      </c>
      <c r="C224" s="7" t="s">
        <v>200</v>
      </c>
    </row>
    <row r="225" spans="1:3" ht="34" customHeight="1">
      <c r="A225" s="14" t="str">
        <f>SUBSTITUTE(_xlfn.FORMULATEXT(B224),",",", ")</f>
        <v>=QS.EVALUATE.RESULTS(Loan_Context, Loan_C09_Trade, Loan_Request0, , Loan_C09_Pricer)</v>
      </c>
      <c r="B225" s="14"/>
      <c r="C225" s="14"/>
    </row>
    <row r="229" spans="1:3" ht="24" customHeight="1">
      <c r="A229" s="4" t="s">
        <v>129</v>
      </c>
      <c r="B229" s="4"/>
      <c r="C229" s="4"/>
    </row>
    <row r="230" spans="1:3" ht="24" customHeight="1">
      <c r="A230" s="6" t="s">
        <v>191</v>
      </c>
    </row>
    <row r="232" spans="1:3" ht="38" customHeight="1">
      <c r="A232" s="4" t="s">
        <v>201</v>
      </c>
      <c r="B232" s="10" cm="1" t="str">
        <f t="array" ref="B232">_xll.QS.LOAN.SETTINGS("Loan.C10.Options",,Loan_C10_Setting_amortizationrate)</f>
        <v/>
      </c>
      <c r="C232" s="7" t="s">
        <v>202</v>
      </c>
    </row>
    <row r="233" spans="1:3" ht="34" customHeight="1">
      <c r="A233" s="14" t="str">
        <f>SUBSTITUTE(_xlfn.FORMULATEXT(B232),",",", ")</f>
        <v>=QS.LOAN.SETTINGS("Loan.C10.Options", , Loan_C10_Setting_amortizationrate)</v>
      </c>
      <c r="B233" s="14"/>
      <c r="C233" s="14"/>
    </row>
    <row r="235" spans="1:3" ht="38" customHeight="1">
      <c r="A235" s="4" t="s">
        <v>192</v>
      </c>
      <c r="B235" s="10" cm="1" t="str">
        <f t="array" ref="B235">_xll.QS.INSTRUMENT.LOAN("Loan.C10.Instrument",Loan_Start,Loan_Maturity,Loan_Currency,Loan_Notional,Loan_C10_Rate,Loan_C10_Index,Loan_C10_Repayment,Loan_Frequency,Loan_DayCounter,Loan_C10_Options,,,)</f>
        <v/>
      </c>
      <c r="C235" s="7" t="s">
        <v>130</v>
      </c>
    </row>
    <row r="236" spans="1:3" ht="48" customHeight="1">
      <c r="A236" s="14" t="str">
        <f>SUBSTITUTE(_xlfn.FORMULATEXT(B235),",",", ")</f>
        <v>=QS.INSTRUMENT.LOAN("Loan.C10.Instrument", Loan_Start, Loan_Maturity, Loan_Currency, Loan_Notional, Loan_C10_Rate, Loan_C10_Index, Loan_C10_Repayment, Loan_Frequency, Loan_DayCounter, Loan_C10_Options, , , )</v>
      </c>
      <c r="B236" s="14"/>
      <c r="C236" s="14"/>
    </row>
    <row r="238" spans="1:3" ht="38" customHeight="1">
      <c r="A238" s="4" t="s">
        <v>193</v>
      </c>
      <c r="B238" s="10" cm="1" t="str">
        <f t="array" ref="B238">_xll.QS.TRADE.CREATE("Loan.C10.Trade",Loan_C10_Instrument,Loan_ValuationDate,Loan_Side)</f>
        <v/>
      </c>
      <c r="C238" s="7" t="s">
        <v>194</v>
      </c>
    </row>
    <row r="239" spans="1:3" ht="34" customHeight="1">
      <c r="A239" s="14" t="str">
        <f>SUBSTITUTE(_xlfn.FORMULATEXT(B238),",",", ")</f>
        <v>=QS.TRADE.CREATE("Loan.C10.Trade", Loan_C10_Instrument, Loan_ValuationDate, Loan_Side)</v>
      </c>
      <c r="B239" s="14"/>
      <c r="C239" s="14"/>
    </row>
    <row r="241" spans="1:3" ht="38" customHeight="1">
      <c r="A241" s="4" t="s">
        <v>195</v>
      </c>
      <c r="B241" s="10">
        <f>IF(Loan_C10_Discount="FUNDING",Loan_FundingPricer,Loan_RiskFreePricer)</f>
        <v/>
      </c>
      <c r="C241" s="7" t="s">
        <v>196</v>
      </c>
    </row>
    <row r="242" spans="1:3" ht="34" customHeight="1">
      <c r="A242" s="14" t="str">
        <f>SUBSTITUTE(_xlfn.FORMULATEXT(B241),",",", ")</f>
        <v>=IF(Loan_C10_Discount="FUNDING", Loan_FundingPricer, Loan_RiskFreePricer)</v>
      </c>
      <c r="B242" s="14"/>
      <c r="C242" s="14"/>
    </row>
    <row r="244" spans="1:3" ht="38" customHeight="1">
      <c r="A244" s="4" t="s">
        <v>197</v>
      </c>
      <c r="B244" s="10" cm="1" t="str">
        <f t="array" ref="B244">_xll.QS.EVALUATE.RESULTS(Loan_Context,Loan_C10_Trade,Loan_Requests,,Loan_C10_Pricer)</f>
        <v/>
      </c>
      <c r="C244" s="7" t="s">
        <v>198</v>
      </c>
    </row>
    <row r="245" spans="1:3" ht="34" customHeight="1">
      <c r="A245" s="14" t="str">
        <f>SUBSTITUTE(_xlfn.FORMULATEXT(B244),",",", ")</f>
        <v>=QS.EVALUATE.RESULTS(Loan_Context, Loan_C10_Trade, Loan_Requests, , Loan_C10_Pricer)</v>
      </c>
      <c r="B245" s="14"/>
      <c r="C245" s="14"/>
    </row>
    <row r="247" spans="1:3" ht="38" customHeight="1">
      <c r="A247" s="4" t="s">
        <v>199</v>
      </c>
      <c r="B247" s="10" cm="1" t="str">
        <f t="array" ref="B247">_xll.QS.EVALUATE.RESULTS(Loan_Context,Loan_C10_Trade,Loan_Request0,,Loan_C10_Pricer)</f>
        <v/>
      </c>
      <c r="C247" s="7" t="s">
        <v>200</v>
      </c>
    </row>
    <row r="248" spans="1:3" ht="34" customHeight="1">
      <c r="A248" s="14" t="str">
        <f>SUBSTITUTE(_xlfn.FORMULATEXT(B247),",",", ")</f>
        <v>=QS.EVALUATE.RESULTS(Loan_Context, Loan_C10_Trade, Loan_Request0, , Loan_C10_Pricer)</v>
      </c>
      <c r="B248" s="14"/>
      <c r="C248" s="14"/>
    </row>
    <row r="252" spans="1:3" ht="24" customHeight="1">
      <c r="A252" s="4" t="s">
        <v>131</v>
      </c>
      <c r="B252" s="4"/>
      <c r="C252" s="4"/>
    </row>
    <row r="253" spans="1:3" ht="24" customHeight="1">
      <c r="A253" s="6" t="s">
        <v>191</v>
      </c>
    </row>
    <row r="255" spans="1:3" ht="38" customHeight="1">
      <c r="A255" s="4" t="s">
        <v>192</v>
      </c>
      <c r="B255" s="10" cm="1" t="str">
        <f t="array" ref="B255">_xll.QS.INSTRUMENT.LOAN("Loan.C11.Instrument",Loan_Start,Loan_Maturity,Loan_Currency,Loan_Notional,Loan_C11_Rate,Loan_C11_Index,Loan_C11_Repayment,Loan_Frequency,Loan_DayCounter,,Loan_C11_CouponPeriods,Loan_C11_CouponRates,Loan_C11_CouponIndices)</f>
        <v/>
      </c>
      <c r="C255" s="7" t="s">
        <v>132</v>
      </c>
    </row>
    <row r="256" spans="1:3" ht="48" customHeight="1">
      <c r="A256" s="14" t="str">
        <f>SUBSTITUTE(_xlfn.FORMULATEXT(B255),",",", ")</f>
        <v>=QS.INSTRUMENT.LOAN("Loan.C11.Instrument", Loan_Start, Loan_Maturity, Loan_Currency, Loan_Notional, Loan_C11_Rate, Loan_C11_Index, Loan_C11_Repayment, Loan_Frequency, Loan_DayCounter, , Loan_C11_CouponPeriods, Loan_C11_CouponRates, Loan_C11_CouponIndices)</v>
      </c>
      <c r="B256" s="14"/>
      <c r="C256" s="14"/>
    </row>
    <row r="258" spans="1:3" ht="38" customHeight="1">
      <c r="A258" s="4" t="s">
        <v>193</v>
      </c>
      <c r="B258" s="10" cm="1" t="str">
        <f t="array" ref="B258">_xll.QS.TRADE.CREATE("Loan.C11.Trade",Loan_C11_Instrument,Loan_ValuationDate,Loan_Side)</f>
        <v/>
      </c>
      <c r="C258" s="7" t="s">
        <v>194</v>
      </c>
    </row>
    <row r="259" spans="1:3" ht="34" customHeight="1">
      <c r="A259" s="14" t="str">
        <f>SUBSTITUTE(_xlfn.FORMULATEXT(B258),",",", ")</f>
        <v>=QS.TRADE.CREATE("Loan.C11.Trade", Loan_C11_Instrument, Loan_ValuationDate, Loan_Side)</v>
      </c>
      <c r="B259" s="14"/>
      <c r="C259" s="14"/>
    </row>
    <row r="261" spans="1:3" ht="38" customHeight="1">
      <c r="A261" s="4" t="s">
        <v>195</v>
      </c>
      <c r="B261" s="10">
        <f>IF(Loan_C11_Discount="FUNDING",Loan_FundingPricer,Loan_RiskFreePricer)</f>
        <v/>
      </c>
      <c r="C261" s="7" t="s">
        <v>196</v>
      </c>
    </row>
    <row r="262" spans="1:3" ht="34" customHeight="1">
      <c r="A262" s="14" t="str">
        <f>SUBSTITUTE(_xlfn.FORMULATEXT(B261),",",", ")</f>
        <v>=IF(Loan_C11_Discount="FUNDING", Loan_FundingPricer, Loan_RiskFreePricer)</v>
      </c>
      <c r="B262" s="14"/>
      <c r="C262" s="14"/>
    </row>
    <row r="264" spans="1:3" ht="38" customHeight="1">
      <c r="A264" s="4" t="s">
        <v>197</v>
      </c>
      <c r="B264" s="10" cm="1" t="str">
        <f t="array" ref="B264">_xll.QS.EVALUATE.RESULTS(Loan_Context,Loan_C11_Trade,Loan_Requests,,Loan_C11_Pricer)</f>
        <v/>
      </c>
      <c r="C264" s="7" t="s">
        <v>198</v>
      </c>
    </row>
    <row r="265" spans="1:3" ht="34" customHeight="1">
      <c r="A265" s="14" t="str">
        <f>SUBSTITUTE(_xlfn.FORMULATEXT(B264),",",", ")</f>
        <v>=QS.EVALUATE.RESULTS(Loan_Context, Loan_C11_Trade, Loan_Requests, , Loan_C11_Pricer)</v>
      </c>
      <c r="B265" s="14"/>
      <c r="C265" s="14"/>
    </row>
    <row r="267" spans="1:3" ht="38" customHeight="1">
      <c r="A267" s="4" t="s">
        <v>199</v>
      </c>
      <c r="B267" s="10" cm="1" t="str">
        <f t="array" ref="B267">_xll.QS.EVALUATE.RESULTS(Loan_Context,Loan_C11_Trade,Loan_Request0,,Loan_C11_Pricer)</f>
        <v/>
      </c>
      <c r="C267" s="7" t="s">
        <v>200</v>
      </c>
    </row>
    <row r="268" spans="1:3" ht="34" customHeight="1">
      <c r="A268" s="14" t="str">
        <f>SUBSTITUTE(_xlfn.FORMULATEXT(B267),",",", ")</f>
        <v>=QS.EVALUATE.RESULTS(Loan_Context, Loan_C11_Trade, Loan_Request0, , Loan_C11_Pricer)</v>
      </c>
      <c r="B268" s="14"/>
      <c r="C268" s="14"/>
    </row>
    <row r="270" spans="1:3" ht="38" customHeight="1">
      <c r="A270" s="4" t="s">
        <v>203</v>
      </c>
      <c r="B270" s="10" cm="1" t="str">
        <f t="array" ref="B270">_xll.QS.EVALUATE.RESULTS(Loan_Context,Loan_C11_Trade,Loan_Request1,,Loan_C11_Pricer)</f>
        <v/>
      </c>
      <c r="C270" s="7" t="s">
        <v>200</v>
      </c>
    </row>
    <row r="271" spans="1:3" ht="34" customHeight="1">
      <c r="A271" s="14" t="str">
        <f>SUBSTITUTE(_xlfn.FORMULATEXT(B270),",",", ")</f>
        <v>=QS.EVALUATE.RESULTS(Loan_Context, Loan_C11_Trade, Loan_Request1, , Loan_C11_Pricer)</v>
      </c>
      <c r="B271" s="14"/>
      <c r="C271" s="14"/>
    </row>
    <row r="273" spans="1:3" ht="38" customHeight="1">
      <c r="A273" s="4" t="s">
        <v>204</v>
      </c>
      <c r="B273" s="10" cm="1" t="str">
        <f t="array" ref="B273">_xll.QS.EVALUATE.RESULTS(Loan_Context,Loan_C11_Trade,Loan_Request2,,Loan_C11_Pricer)</f>
        <v/>
      </c>
      <c r="C273" s="7" t="s">
        <v>200</v>
      </c>
    </row>
    <row r="274" spans="1:3" ht="34" customHeight="1">
      <c r="A274" s="14" t="str">
        <f>SUBSTITUTE(_xlfn.FORMULATEXT(B273),",",", ")</f>
        <v>=QS.EVALUATE.RESULTS(Loan_Context, Loan_C11_Trade, Loan_Request2, , Loan_C11_Pricer)</v>
      </c>
      <c r="B274" s="14"/>
      <c r="C274" s="14"/>
    </row>
    <row r="278" spans="1:3" ht="24" customHeight="1">
      <c r="A278" s="4" t="s">
        <v>133</v>
      </c>
      <c r="B278" s="4"/>
      <c r="C278" s="4"/>
    </row>
    <row r="279" spans="1:3" ht="24" customHeight="1">
      <c r="A279" s="6" t="s">
        <v>191</v>
      </c>
    </row>
    <row r="281" spans="1:3" ht="38" customHeight="1">
      <c r="A281" s="4" t="s">
        <v>192</v>
      </c>
      <c r="B281" s="10" cm="1" t="str">
        <f t="array" ref="B281">_xll.QS.INSTRUMENT.LOAN("Loan.C12.Instrument",Loan_Start,Loan_Maturity,Loan_Currency,Loan_Notional,Loan_C12_Rate,Loan_C12_Index,Loan_C12_Repayment,Loan_Frequency,Loan_DayCounter,,Loan_C12_CouponPeriods,Loan_C12_CouponRates,Loan_C12_CouponIndices)</f>
        <v/>
      </c>
      <c r="C281" s="7" t="s">
        <v>134</v>
      </c>
    </row>
    <row r="282" spans="1:3" ht="48" customHeight="1">
      <c r="A282" s="14" t="str">
        <f>SUBSTITUTE(_xlfn.FORMULATEXT(B281),",",", ")</f>
        <v>=QS.INSTRUMENT.LOAN("Loan.C12.Instrument", Loan_Start, Loan_Maturity, Loan_Currency, Loan_Notional, Loan_C12_Rate, Loan_C12_Index, Loan_C12_Repayment, Loan_Frequency, Loan_DayCounter, , Loan_C12_CouponPeriods, Loan_C12_CouponRates, Loan_C12_CouponIndices)</v>
      </c>
      <c r="B282" s="14"/>
      <c r="C282" s="14"/>
    </row>
    <row r="284" spans="1:3" ht="38" customHeight="1">
      <c r="A284" s="4" t="s">
        <v>193</v>
      </c>
      <c r="B284" s="10" cm="1" t="str">
        <f t="array" ref="B284">_xll.QS.TRADE.CREATE("Loan.C12.Trade",Loan_C12_Instrument,Loan_ValuationDate,Loan_Side)</f>
        <v/>
      </c>
      <c r="C284" s="7" t="s">
        <v>194</v>
      </c>
    </row>
    <row r="285" spans="1:3" ht="34" customHeight="1">
      <c r="A285" s="14" t="str">
        <f>SUBSTITUTE(_xlfn.FORMULATEXT(B284),",",", ")</f>
        <v>=QS.TRADE.CREATE("Loan.C12.Trade", Loan_C12_Instrument, Loan_ValuationDate, Loan_Side)</v>
      </c>
      <c r="B285" s="14"/>
      <c r="C285" s="14"/>
    </row>
    <row r="287" spans="1:3" ht="38" customHeight="1">
      <c r="A287" s="4" t="s">
        <v>195</v>
      </c>
      <c r="B287" s="10">
        <f>IF(Loan_C12_Discount="FUNDING",Loan_FundingPricer,Loan_RiskFreePricer)</f>
        <v/>
      </c>
      <c r="C287" s="7" t="s">
        <v>196</v>
      </c>
    </row>
    <row r="288" spans="1:3" ht="34" customHeight="1">
      <c r="A288" s="14" t="str">
        <f>SUBSTITUTE(_xlfn.FORMULATEXT(B287),",",", ")</f>
        <v>=IF(Loan_C12_Discount="FUNDING", Loan_FundingPricer, Loan_RiskFreePricer)</v>
      </c>
      <c r="B288" s="14"/>
      <c r="C288" s="14"/>
    </row>
    <row r="290" spans="1:3" ht="38" customHeight="1">
      <c r="A290" s="4" t="s">
        <v>197</v>
      </c>
      <c r="B290" s="10" cm="1" t="str">
        <f t="array" ref="B290">_xll.QS.EVALUATE.RESULTS(Loan_Context,Loan_C12_Trade,Loan_Requests,,Loan_C12_Pricer)</f>
        <v/>
      </c>
      <c r="C290" s="7" t="s">
        <v>198</v>
      </c>
    </row>
    <row r="291" spans="1:3" ht="34" customHeight="1">
      <c r="A291" s="14" t="str">
        <f>SUBSTITUTE(_xlfn.FORMULATEXT(B290),",",", ")</f>
        <v>=QS.EVALUATE.RESULTS(Loan_Context, Loan_C12_Trade, Loan_Requests, , Loan_C12_Pricer)</v>
      </c>
      <c r="B291" s="14"/>
      <c r="C291" s="14"/>
    </row>
    <row r="293" spans="1:3" ht="38" customHeight="1">
      <c r="A293" s="4" t="s">
        <v>199</v>
      </c>
      <c r="B293" s="10" cm="1" t="str">
        <f t="array" ref="B293">_xll.QS.EVALUATE.RESULTS(Loan_Context,Loan_C12_Trade,Loan_Request0,,Loan_C12_Pricer)</f>
        <v/>
      </c>
      <c r="C293" s="7" t="s">
        <v>200</v>
      </c>
    </row>
    <row r="294" spans="1:3" ht="34" customHeight="1">
      <c r="A294" s="14" t="str">
        <f>SUBSTITUTE(_xlfn.FORMULATEXT(B293),",",", ")</f>
        <v>=QS.EVALUATE.RESULTS(Loan_Context, Loan_C12_Trade, Loan_Request0, , Loan_C12_Pricer)</v>
      </c>
      <c r="B294" s="14"/>
      <c r="C294" s="14"/>
    </row>
    <row r="296" spans="1:3" ht="38" customHeight="1">
      <c r="A296" s="4" t="s">
        <v>203</v>
      </c>
      <c r="B296" s="10" cm="1" t="str">
        <f t="array" ref="B296">_xll.QS.EVALUATE.RESULTS(Loan_Context,Loan_C12_Trade,Loan_Request1,,Loan_C12_Pricer)</f>
        <v/>
      </c>
      <c r="C296" s="7" t="s">
        <v>200</v>
      </c>
    </row>
    <row r="297" spans="1:3" ht="34" customHeight="1">
      <c r="A297" s="14" t="str">
        <f>SUBSTITUTE(_xlfn.FORMULATEXT(B296),",",", ")</f>
        <v>=QS.EVALUATE.RESULTS(Loan_Context, Loan_C12_Trade, Loan_Request1, , Loan_C12_Pricer)</v>
      </c>
      <c r="B297" s="14"/>
      <c r="C297" s="14"/>
    </row>
    <row r="299" spans="1:3" ht="38" customHeight="1">
      <c r="A299" s="4" t="s">
        <v>204</v>
      </c>
      <c r="B299" s="10" cm="1" t="str">
        <f t="array" ref="B299">_xll.QS.EVALUATE.RESULTS(Loan_Context,Loan_C12_Trade,Loan_Request2,,Loan_C12_Pricer)</f>
        <v/>
      </c>
      <c r="C299" s="7" t="s">
        <v>200</v>
      </c>
    </row>
    <row r="300" spans="1:3" ht="34" customHeight="1">
      <c r="A300" s="14" t="str">
        <f>SUBSTITUTE(_xlfn.FORMULATEXT(B299),",",", ")</f>
        <v>=QS.EVALUATE.RESULTS(Loan_Context, Loan_C12_Trade, Loan_Request2, , Loan_C12_Pricer)</v>
      </c>
      <c r="B300" s="14"/>
      <c r="C300" s="14"/>
    </row>
    <row r="304" spans="1:3" ht="36" customHeight="1">
      <c r="A304" s="5" t="s">
        <v>229</v>
      </c>
      <c r="B304" s="5" t="s">
        <v>230</v>
      </c>
      <c r="C304" s="5"/>
    </row>
    <row r="305" spans="1:3" ht="24" customHeight="1">
      <c r="A305" s="1" t="s">
        <v>93</v>
      </c>
      <c r="B305" s="10">
        <f>Loan_C01_Result</f>
        <v/>
      </c>
    </row>
    <row r="306" spans="1:3" ht="24" customHeight="1">
      <c r="A306" s="1" t="s">
        <v>99</v>
      </c>
      <c r="B306" s="10">
        <f>Loan_C02_Result</f>
        <v/>
      </c>
    </row>
    <row r="307" spans="1:3" ht="24" customHeight="1">
      <c r="A307" s="1" t="s">
        <v>218</v>
      </c>
      <c r="B307" s="10">
        <f>Loan_C03_Result</f>
        <v/>
      </c>
    </row>
    <row r="308" spans="1:3" ht="24" customHeight="1">
      <c r="A308" s="1" t="s">
        <v>219</v>
      </c>
      <c r="B308" s="10">
        <f>Loan_C04_Result</f>
        <v/>
      </c>
    </row>
    <row r="309" spans="1:3" ht="24" customHeight="1">
      <c r="A309" s="1" t="s">
        <v>220</v>
      </c>
      <c r="B309" s="10">
        <f>Loan_C05_Result</f>
        <v/>
      </c>
    </row>
    <row r="310" spans="1:3" ht="24" customHeight="1">
      <c r="A310" s="1" t="s">
        <v>221</v>
      </c>
      <c r="B310" s="10">
        <f>Loan_C06_Result</f>
        <v/>
      </c>
    </row>
    <row r="311" spans="1:3" ht="24" customHeight="1">
      <c r="A311" s="1" t="s">
        <v>223</v>
      </c>
      <c r="B311" s="10">
        <f>Loan_C07_Result</f>
        <v/>
      </c>
    </row>
    <row r="312" spans="1:3" ht="24" customHeight="1">
      <c r="A312" s="1" t="s">
        <v>224</v>
      </c>
      <c r="B312" s="10">
        <f>Loan_C08_Result</f>
        <v/>
      </c>
    </row>
    <row r="313" spans="1:3" ht="24" customHeight="1">
      <c r="A313" s="1" t="s">
        <v>225</v>
      </c>
      <c r="B313" s="10">
        <f>Loan_C09_Result</f>
        <v/>
      </c>
    </row>
    <row r="314" spans="1:3" ht="24" customHeight="1">
      <c r="A314" s="1" t="s">
        <v>226</v>
      </c>
      <c r="B314" s="10">
        <f>Loan_C10_Result</f>
        <v/>
      </c>
    </row>
    <row r="315" spans="1:3" ht="24" customHeight="1">
      <c r="A315" s="1" t="s">
        <v>227</v>
      </c>
      <c r="B315" s="10">
        <f>Loan_C11_Result</f>
        <v/>
      </c>
    </row>
    <row r="316" spans="1:3" ht="24" customHeight="1">
      <c r="A316" s="1" t="s">
        <v>228</v>
      </c>
      <c r="B316" s="10">
        <f>Loan_C12_Result</f>
        <v/>
      </c>
    </row>
    <row r="319" spans="1:3" ht="38" customHeight="1">
      <c r="A319" s="4" t="s">
        <v>233</v>
      </c>
      <c r="B319" s="10">
        <f>INDEX(Loan_ResultHandles,MATCH(Loan_SelectedCase,Loan_CaseNames,0))</f>
        <v/>
      </c>
      <c r="C319" s="7" t="s">
        <v>234</v>
      </c>
    </row>
    <row r="320" spans="1:3" ht="34" customHeight="1">
      <c r="A320" s="14" t="str">
        <f>SUBSTITUTE(_xlfn.FORMULATEXT(B319),",",", ")</f>
        <v>=INDEX(Loan_ResultHandles, MATCH(Loan_SelectedCase, Loan_CaseNames, 0))</v>
      </c>
      <c r="B320" s="14"/>
      <c r="C320" s="14"/>
    </row>
  </sheetData>
  <mergeCells count="94">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3:C93"/>
    <mergeCell ref="A97:C97"/>
    <mergeCell ref="A101:C101"/>
    <mergeCell ref="A104:C104"/>
    <mergeCell ref="A107:C107"/>
    <mergeCell ref="A110:C110"/>
    <mergeCell ref="A113:C113"/>
    <mergeCell ref="A116:C116"/>
    <mergeCell ref="A120:C120"/>
    <mergeCell ref="A124:C124"/>
    <mergeCell ref="A127:C127"/>
    <mergeCell ref="A130:C130"/>
    <mergeCell ref="A133:C133"/>
    <mergeCell ref="A136:C136"/>
    <mergeCell ref="A139:C139"/>
    <mergeCell ref="A143:C143"/>
    <mergeCell ref="A147:C147"/>
    <mergeCell ref="A150:C150"/>
    <mergeCell ref="A153:C153"/>
    <mergeCell ref="A156:C156"/>
    <mergeCell ref="A159:C159"/>
    <mergeCell ref="A163:C163"/>
    <mergeCell ref="A167:C167"/>
    <mergeCell ref="A170:C170"/>
    <mergeCell ref="A173:C173"/>
    <mergeCell ref="A176:C176"/>
    <mergeCell ref="A179:C179"/>
    <mergeCell ref="A182:C182"/>
    <mergeCell ref="A186:C186"/>
    <mergeCell ref="A190:C190"/>
    <mergeCell ref="A193:C193"/>
    <mergeCell ref="A196:C196"/>
    <mergeCell ref="A199:C199"/>
    <mergeCell ref="A202:C202"/>
    <mergeCell ref="A205:C205"/>
    <mergeCell ref="A209:C209"/>
    <mergeCell ref="A213:C213"/>
    <mergeCell ref="A216:C216"/>
    <mergeCell ref="A219:C219"/>
    <mergeCell ref="A222:C222"/>
    <mergeCell ref="A225:C225"/>
    <mergeCell ref="A229:C229"/>
    <mergeCell ref="A233:C233"/>
    <mergeCell ref="A236:C236"/>
    <mergeCell ref="A239:C239"/>
    <mergeCell ref="A242:C242"/>
    <mergeCell ref="A245:C245"/>
    <mergeCell ref="A248:C248"/>
    <mergeCell ref="A252:C252"/>
    <mergeCell ref="A256:C256"/>
    <mergeCell ref="A259:C259"/>
    <mergeCell ref="A262:C262"/>
    <mergeCell ref="A265:C265"/>
    <mergeCell ref="A268:C268"/>
    <mergeCell ref="A271:C271"/>
    <mergeCell ref="A274:C274"/>
    <mergeCell ref="A278:C278"/>
    <mergeCell ref="A282:C282"/>
    <mergeCell ref="A285:C285"/>
    <mergeCell ref="A288:C288"/>
    <mergeCell ref="A291:C291"/>
    <mergeCell ref="A294:C294"/>
    <mergeCell ref="A297:C297"/>
    <mergeCell ref="A300:C300"/>
    <mergeCell ref="A320:C320"/>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8" location="'2 Cases'!A36" display="Edit these case inputs →"/>
    <hyperlink ref="A121" location="'2 Cases'!A46" display="Edit these case inputs →"/>
    <hyperlink ref="A144" location="'2 Cases'!A60" display="Edit these case inputs →"/>
    <hyperlink ref="A164" location="'2 Cases'!A72" display="Edit these case inputs →"/>
    <hyperlink ref="A187" location="'2 Cases'!A82" display="Edit these case inputs →"/>
    <hyperlink ref="A210" location="'2 Cases'!A93" display="Edit these case inputs →"/>
    <hyperlink ref="A230" location="'2 Cases'!A103" display="Edit these case inputs →"/>
    <hyperlink ref="A253" location="'2 Cases'!A113" display="Edit these case inputs →"/>
    <hyperlink ref="A279"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 customHeight="1">
      <c r="A1" s="2" t="s">
        <v>205</v>
      </c>
      <c r="B1" s="2"/>
      <c r="C1" s="2"/>
      <c r="D1" s="2"/>
      <c r="E1" s="2"/>
      <c r="F1" s="2"/>
      <c r="G1" s="2"/>
      <c r="H1" s="2"/>
    </row>
    <row r="2" spans="1:8" ht="24" customHeight="1">
      <c r="A2" s="3" t="s">
        <v>206</v>
      </c>
      <c r="B2" s="3"/>
      <c r="C2" s="3"/>
      <c r="D2" s="3"/>
      <c r="E2" s="3"/>
      <c r="F2" s="3"/>
      <c r="G2" s="3"/>
      <c r="H2" s="3"/>
    </row>
    <row r="3" spans="1:8" ht="24" customHeight="1">
      <c r="A3" s="3"/>
      <c r="B3" s="3"/>
      <c r="C3" s="3"/>
      <c r="D3" s="3"/>
      <c r="E3" s="3"/>
      <c r="F3" s="3"/>
      <c r="G3" s="3"/>
      <c r="H3" s="3"/>
    </row>
    <row r="4" spans="1:8" ht="36" customHeight="1">
      <c r="A4" s="6" t="s">
        <v>42</v>
      </c>
      <c r="H4" s="6" t="s">
        <v>207</v>
      </c>
    </row>
    <row r="6" spans="1:8" ht="36" customHeight="1">
      <c r="A6" s="5" t="s">
        <v>208</v>
      </c>
      <c r="B6" s="5" t="s">
        <v>209</v>
      </c>
      <c r="C6" s="5" t="s">
        <v>210</v>
      </c>
      <c r="D6" s="5" t="s">
        <v>211</v>
      </c>
      <c r="E6" s="5" t="s">
        <v>212</v>
      </c>
      <c r="F6" s="5" t="s">
        <v>213</v>
      </c>
      <c r="G6" s="5" t="s">
        <v>214</v>
      </c>
      <c r="H6" s="5" t="s">
        <v>215</v>
      </c>
    </row>
    <row r="7" spans="1:8" ht="34" customHeight="1">
      <c r="A7" s="1" t="s">
        <v>93</v>
      </c>
      <c r="B7" s="15" cm="1" t="str">
        <f t="array" ref="B7">_xll.QS.RESULT.VALUE(Loan_C01_Result)</f>
        <v/>
      </c>
      <c r="C7" s="15">
        <f>Loan_C01_PV-Loan_Notional</f>
        <v/>
      </c>
      <c r="D7" s="13" cm="1" t="str">
        <f t="array" ref="D7">_xll.QS.RESULT.FAIR.RATE(Loan_C01_Fair0)</f>
        <v/>
      </c>
      <c r="E7" s="9"/>
      <c r="F7" s="9"/>
      <c r="G7" s="6" t="s">
        <v>216</v>
      </c>
      <c r="H7" s="6" t="s">
        <v>217</v>
      </c>
    </row>
    <row r="8" spans="1:8" ht="34" customHeight="1">
      <c r="A8" s="1" t="s">
        <v>99</v>
      </c>
      <c r="B8" s="15" cm="1" t="str">
        <f t="array" ref="B8">_xll.QS.RESULT.VALUE(Loan_C02_Result)</f>
        <v/>
      </c>
      <c r="C8" s="15">
        <f>Loan_C02_PV-Loan_Notional</f>
        <v/>
      </c>
      <c r="D8" s="13" cm="1" t="str">
        <f t="array" ref="D8">_xll.QS.RESULT.FAIR.RATE(Loan_C02_Fair0)</f>
        <v/>
      </c>
      <c r="E8" s="9"/>
      <c r="F8" s="9"/>
      <c r="G8" s="6" t="s">
        <v>216</v>
      </c>
      <c r="H8" s="6" t="s">
        <v>217</v>
      </c>
    </row>
    <row r="9" spans="1:8" ht="34" customHeight="1">
      <c r="A9" s="1" t="s">
        <v>218</v>
      </c>
      <c r="B9" s="15" cm="1" t="str">
        <f t="array" ref="B9">_xll.QS.RESULT.VALUE(Loan_C03_Result)</f>
        <v/>
      </c>
      <c r="C9" s="15">
        <f>Loan_C03_PV-Loan_Notional</f>
        <v/>
      </c>
      <c r="D9" s="13" cm="1" t="str">
        <f t="array" ref="D9">_xll.QS.RESULT.FAIR.RATE(Loan_C03_Fair0)</f>
        <v/>
      </c>
      <c r="E9" s="9"/>
      <c r="F9" s="9"/>
      <c r="G9" s="6" t="s">
        <v>216</v>
      </c>
      <c r="H9" s="6" t="s">
        <v>217</v>
      </c>
    </row>
    <row r="10" spans="1:8" ht="34" customHeight="1">
      <c r="A10" s="1" t="s">
        <v>219</v>
      </c>
      <c r="B10" s="15" cm="1" t="str">
        <f t="array" ref="B10">_xll.QS.RESULT.VALUE(Loan_C04_Result)</f>
        <v/>
      </c>
      <c r="C10" s="15">
        <f>Loan_C04_PV-Loan_Notional</f>
        <v/>
      </c>
      <c r="D10" s="13" cm="1" t="str">
        <f t="array" ref="D10">_xll.QS.RESULT.FAIR.RATE(Loan_C04_Fair0)</f>
        <v/>
      </c>
      <c r="E10" s="9"/>
      <c r="F10" s="9"/>
      <c r="G10" s="6" t="s">
        <v>216</v>
      </c>
      <c r="H10" s="6" t="s">
        <v>217</v>
      </c>
    </row>
    <row r="11" spans="1:8" ht="34" customHeight="1">
      <c r="A11" s="1" t="s">
        <v>220</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216</v>
      </c>
      <c r="H11" s="6" t="s">
        <v>217</v>
      </c>
    </row>
    <row r="12" spans="1:8" ht="34" customHeight="1">
      <c r="A12" s="1" t="s">
        <v>221</v>
      </c>
      <c r="B12" s="15" cm="1" t="str">
        <f t="array" ref="B12">_xll.QS.RESULT.VALUE(Loan_C06_Result)</f>
        <v/>
      </c>
      <c r="C12" s="15">
        <f>Loan_C06_PV-Loan_Notional</f>
        <v/>
      </c>
      <c r="D12" s="7" t="s">
        <v>222</v>
      </c>
      <c r="E12" s="9"/>
      <c r="F12" s="9"/>
      <c r="G12" s="6" t="s">
        <v>216</v>
      </c>
      <c r="H12" s="6" t="s">
        <v>217</v>
      </c>
    </row>
    <row r="13" spans="1:8" ht="34" customHeight="1">
      <c r="A13" s="1" t="s">
        <v>223</v>
      </c>
      <c r="B13" s="15" cm="1" t="str">
        <f t="array" ref="B13">_xll.QS.RESULT.VALUE(Loan_C07_Result)</f>
        <v/>
      </c>
      <c r="C13" s="15">
        <f>Loan_C07_PV-Loan_Notional</f>
        <v/>
      </c>
      <c r="D13" s="13" cm="1" t="str">
        <f t="array" ref="D13">_xll.QS.RESULT.FAIR.RATE(Loan_C07_Fair0)</f>
        <v/>
      </c>
      <c r="E13" s="9"/>
      <c r="F13" s="9"/>
      <c r="G13" s="6" t="s">
        <v>216</v>
      </c>
      <c r="H13" s="6" t="s">
        <v>217</v>
      </c>
    </row>
    <row r="14" spans="1:8" ht="34" customHeight="1">
      <c r="A14" s="1" t="s">
        <v>224</v>
      </c>
      <c r="B14" s="15" cm="1" t="str">
        <f t="array" ref="B14">_xll.QS.RESULT.VALUE(Loan_C08_Result)</f>
        <v/>
      </c>
      <c r="C14" s="15">
        <f>Loan_C08_PV-Loan_Notional</f>
        <v/>
      </c>
      <c r="D14" s="13" cm="1" t="str">
        <f t="array" ref="D14">_xll.QS.RESULT.FAIR.RATE(Loan_C08_Fair0)</f>
        <v/>
      </c>
      <c r="E14" s="9"/>
      <c r="F14" s="9"/>
      <c r="G14" s="6" t="s">
        <v>216</v>
      </c>
      <c r="H14" s="6" t="s">
        <v>217</v>
      </c>
    </row>
    <row r="15" spans="1:8" ht="34" customHeight="1">
      <c r="A15" s="1" t="s">
        <v>225</v>
      </c>
      <c r="B15" s="15" cm="1" t="str">
        <f t="array" ref="B15">_xll.QS.RESULT.VALUE(Loan_C09_Result)</f>
        <v/>
      </c>
      <c r="C15" s="15">
        <f>Loan_C09_PV-Loan_Notional</f>
        <v/>
      </c>
      <c r="D15" s="13" cm="1" t="str">
        <f t="array" ref="D15">_xll.QS.RESULT.FAIR.RATE(Loan_C09_Fair0)</f>
        <v/>
      </c>
      <c r="E15" s="9"/>
      <c r="F15" s="9"/>
      <c r="G15" s="6" t="s">
        <v>216</v>
      </c>
      <c r="H15" s="6" t="s">
        <v>217</v>
      </c>
    </row>
    <row r="16" spans="1:8" ht="34" customHeight="1">
      <c r="A16" s="1" t="s">
        <v>226</v>
      </c>
      <c r="B16" s="15" cm="1" t="str">
        <f t="array" ref="B16">_xll.QS.RESULT.VALUE(Loan_C10_Result)</f>
        <v/>
      </c>
      <c r="C16" s="15">
        <f>Loan_C10_PV-Loan_Notional</f>
        <v/>
      </c>
      <c r="D16" s="13" cm="1" t="str">
        <f t="array" ref="D16">_xll.QS.RESULT.FAIR.RATE(Loan_C10_Fair0)</f>
        <v/>
      </c>
      <c r="E16" s="9"/>
      <c r="F16" s="9"/>
      <c r="G16" s="6" t="s">
        <v>216</v>
      </c>
      <c r="H16" s="6" t="s">
        <v>217</v>
      </c>
    </row>
    <row r="17" spans="1:8" ht="34" customHeight="1">
      <c r="A17" s="1" t="s">
        <v>227</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216</v>
      </c>
      <c r="H17" s="6" t="s">
        <v>217</v>
      </c>
    </row>
    <row r="18" spans="1:8" ht="34" customHeight="1">
      <c r="A18" s="1" t="s">
        <v>228</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216</v>
      </c>
      <c r="H18" s="6" t="s">
        <v>217</v>
      </c>
    </row>
    <row r="22" spans="1:8" ht="24" customHeight="1">
      <c r="A22" s="4" t="s">
        <v>231</v>
      </c>
      <c r="B22" s="8" t="s">
        <v>93</v>
      </c>
      <c r="C22" s="7" t="s">
        <v>232</v>
      </c>
      <c r="D22" s="7"/>
      <c r="E22" s="7"/>
      <c r="F22" s="7"/>
    </row>
    <row r="23" spans="1:8" ht="24" customHeight="1">
      <c r="C23" s="7"/>
      <c r="D23" s="7"/>
      <c r="E23" s="7"/>
      <c r="F23" s="7"/>
    </row>
    <row r="26" spans="1:8" ht="24" customHeight="1">
      <c r="A26" s="7" t="s">
        <v>235</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7" display="Build →"/>
    <hyperlink ref="G11" location="'2 Cases'!A46" display="Edit →"/>
    <hyperlink ref="H11" location="'4 Build'!A120" display="Build →"/>
    <hyperlink ref="G12" location="'2 Cases'!A60" display="Edit →"/>
    <hyperlink ref="H12" location="'4 Build'!A143" display="Build →"/>
    <hyperlink ref="G13" location="'2 Cases'!A72" display="Edit →"/>
    <hyperlink ref="H13" location="'4 Build'!A163" display="Build →"/>
    <hyperlink ref="G14" location="'2 Cases'!A82" display="Edit →"/>
    <hyperlink ref="H14" location="'4 Build'!A186" display="Build →"/>
    <hyperlink ref="G15" location="'2 Cases'!A93" display="Edit →"/>
    <hyperlink ref="H15" location="'4 Build'!A209" display="Build →"/>
    <hyperlink ref="G16" location="'2 Cases'!A103" display="Edit →"/>
    <hyperlink ref="H16" location="'4 Build'!A229" display="Build →"/>
    <hyperlink ref="G17" location="'2 Cases'!A113" display="Edit →"/>
    <hyperlink ref="H17" location="'4 Build'!A252" display="Build →"/>
    <hyperlink ref="G18" location="'2 Cases'!A127" display="Edit →"/>
    <hyperlink ref="H18" location="'4 Build'!A278"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 customHeight="1">
      <c r="A1" s="2" t="s">
        <v>236</v>
      </c>
      <c r="B1" s="2"/>
      <c r="C1" s="2"/>
      <c r="D1" s="2"/>
      <c r="E1" s="2"/>
      <c r="F1" s="2"/>
      <c r="G1" s="2"/>
      <c r="H1" s="2"/>
      <c r="I1" s="2"/>
    </row>
    <row r="2" spans="1:9" ht="24" customHeight="1">
      <c r="A2" s="3" t="s">
        <v>237</v>
      </c>
      <c r="B2" s="3"/>
      <c r="C2" s="3"/>
      <c r="D2" s="3"/>
      <c r="E2" s="3"/>
      <c r="F2" s="3"/>
      <c r="G2" s="3"/>
      <c r="H2" s="3"/>
      <c r="I2" s="3"/>
    </row>
    <row r="3" spans="1:9" ht="24" customHeight="1">
      <c r="A3" s="3"/>
      <c r="B3" s="3"/>
      <c r="C3" s="3"/>
      <c r="D3" s="3"/>
      <c r="E3" s="3"/>
      <c r="F3" s="3"/>
      <c r="G3" s="3"/>
      <c r="H3" s="3"/>
      <c r="I3" s="3"/>
    </row>
    <row r="4" spans="1:9" ht="36" customHeight="1">
      <c r="A4" s="6" t="s">
        <v>42</v>
      </c>
      <c r="I4" s="6" t="s">
        <v>238</v>
      </c>
    </row>
    <row r="6" spans="1:9" ht="24" customHeight="1">
      <c r="A6" s="1" t="s">
        <v>239</v>
      </c>
      <c r="B6" s="9">
        <f>Loan_SelectedCase</f>
        <v/>
      </c>
      <c r="C6" s="6" t="s">
        <v>240</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 customHeight="1">
      <c r="A1" s="2" t="s">
        <v>241</v>
      </c>
      <c r="B1" s="2"/>
      <c r="C1" s="2"/>
    </row>
    <row r="2" spans="1:3" ht="24" customHeight="1">
      <c r="A2" s="3" t="s">
        <v>242</v>
      </c>
      <c r="B2" s="3"/>
      <c r="C2" s="3"/>
    </row>
    <row r="3" spans="1:3" ht="24" customHeight="1">
      <c r="A3" s="3"/>
      <c r="B3" s="3"/>
      <c r="C3" s="3"/>
    </row>
    <row r="4" spans="1:3" ht="36" customHeight="1">
      <c r="A4" s="6" t="s">
        <v>42</v>
      </c>
      <c r="C4" s="6" t="s">
        <v>243</v>
      </c>
    </row>
    <row r="6" spans="1:3" ht="24" customHeight="1">
      <c r="A6" s="1" t="s">
        <v>239</v>
      </c>
      <c r="B6" s="9">
        <f>Loan_SelectedCase</f>
        <v/>
      </c>
      <c r="C6" s="6" t="s">
        <v>240</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 customHeight="1">
      <c r="A1" s="2" t="s">
        <v>244</v>
      </c>
      <c r="B1" s="2"/>
      <c r="C1" s="2"/>
      <c r="D1" s="2"/>
      <c r="E1" s="2"/>
      <c r="F1" s="2"/>
    </row>
    <row r="2" spans="1:6" ht="24" customHeight="1">
      <c r="A2" s="3" t="s">
        <v>245</v>
      </c>
      <c r="B2" s="3"/>
      <c r="C2" s="3"/>
      <c r="D2" s="3"/>
      <c r="E2" s="3"/>
      <c r="F2" s="3"/>
    </row>
    <row r="3" spans="1:6" ht="24" customHeight="1">
      <c r="A3" s="3"/>
      <c r="B3" s="3"/>
      <c r="C3" s="3"/>
      <c r="D3" s="3"/>
      <c r="E3" s="3"/>
      <c r="F3" s="3"/>
    </row>
    <row r="4" spans="1:6" ht="24" customHeight="1">
      <c r="A4" s="6" t="s">
        <v>42</v>
      </c>
    </row>
    <row r="6" spans="1:6" ht="24" customHeight="1">
      <c r="A6" s="4" t="s">
        <v>246</v>
      </c>
      <c r="B6" s="4"/>
      <c r="C6" s="4"/>
      <c r="D6" s="4"/>
      <c r="E6" s="4"/>
      <c r="F6" s="4"/>
    </row>
    <row r="7" spans="1:6" ht="24" customHeight="1">
      <c r="A7" s="1" cm="1" t="str">
        <f t="array" ref="A7">_xll.QS.CURVE.TABLE(Loan_EstrCurve,"Simple","Annual",FALSE,TRUE)</f>
        <v/>
      </c>
    </row>
    <row r="16" spans="1:6" ht="24" customHeight="1">
      <c r="A16" s="4" t="s">
        <v>247</v>
      </c>
      <c r="B16" s="4"/>
      <c r="C16" s="4"/>
      <c r="D16" s="4"/>
      <c r="E16" s="4"/>
      <c r="F16" s="4"/>
    </row>
    <row r="17" spans="1:6" ht="24" customHeight="1">
      <c r="A17" s="1" cm="1" t="str">
        <f t="array" ref="A17">_xll.QS.CURVE.TABLE(Loan_EstrCurve,"Simple","Annual",FALSE,FALSE)</f>
        <v/>
      </c>
    </row>
    <row r="26" spans="1:6" ht="24" customHeight="1">
      <c r="A26" s="4" t="s">
        <v>248</v>
      </c>
      <c r="B26" s="4"/>
      <c r="C26" s="4"/>
      <c r="D26" s="4"/>
      <c r="E26" s="4"/>
      <c r="F26" s="4"/>
    </row>
    <row r="27" spans="1:6" ht="24" customHeight="1">
      <c r="A27" s="1" cm="1" t="str">
        <f t="array" ref="A27">_xll.QS.CURVE.TABLE(Loan_EstrCurve,"Simple","Annual",TRUE,TRUE)</f>
        <v/>
      </c>
    </row>
    <row r="36" spans="1:6" ht="24" customHeight="1">
      <c r="A36" s="4" t="s">
        <v>249</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229</vt:i4>
      </vt:variant>
    </vt:vector>
  </HeadingPairs>
  <TitlesOfParts>
    <vt:vector size="238"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Loan_C03_Options</vt:lpstr>
      <vt:lpstr>Loan_C03_Pricer</vt:lpstr>
      <vt:lpstr>Loan_C03_PV</vt:lpstr>
      <vt:lpstr>Loan_C03_Rate</vt:lpstr>
      <vt:lpstr>Loan_C03_Repayment</vt:lpstr>
      <vt:lpstr>Loan_C03_Result</vt:lpstr>
      <vt:lpstr>Loan_C03_Setting_balloonfraction</vt:lpstr>
      <vt:lpstr>Loan_C03_Trade</vt:lpstr>
      <vt:lpstr>Loan_C04_Discount</vt:lpstr>
      <vt:lpstr>Loan_C04_Fair0</vt:lpstr>
      <vt:lpstr>Loan_C04_FairRate0</vt:lpstr>
      <vt:lpstr>Loan_C04_Index</vt:lpstr>
      <vt:lpstr>Loan_C04_Instrument</vt:lpstr>
      <vt:lpstr>Loan_C04_Net</vt:lpstr>
      <vt:lpstr>Loan_C04_Options</vt:lpstr>
      <vt:lpstr>Loan_C04_Pricer</vt:lpstr>
      <vt:lpstr>Loan_C04_PV</vt:lpstr>
      <vt:lpstr>Loan_C04_Rate</vt:lpstr>
      <vt:lpstr>Loan_C04_Repayment</vt:lpstr>
      <vt:lpstr>Loan_C04_Result</vt:lpstr>
      <vt:lpstr>Loan_C04_Setting_amortizationrate</vt:lpstr>
      <vt:lpstr>Loan_C04_Trade</vt:lpstr>
      <vt:lpstr>Loan_C05_CouponIndices</vt:lpstr>
      <vt:lpstr>Loan_C05_CouponPeriods</vt:lpstr>
      <vt:lpstr>Loan_C05_CouponRates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Loan_C06_Options</vt:lpstr>
      <vt:lpstr>Loan_C06_Pricer</vt:lpstr>
      <vt:lpstr>Loan_C06_PV</vt:lpstr>
      <vt:lpstr>Loan_C06_Rate</vt:lpstr>
      <vt:lpstr>Loan_C06_Repayment</vt:lpstr>
      <vt:lpstr>Loan_C06_Result</vt:lpstr>
      <vt:lpstr>Loan_C06_Setting_amortizationrate</vt:lpstr>
      <vt:lpstr>Loan_C06_Setting_cap</vt:lpstr>
      <vt:lpstr>Loan_C06_Setting_floor</vt:lpstr>
      <vt:lpstr>Loan_C06_Trade</vt:lpstr>
      <vt:lpstr>Loan_C07_Discount</vt:lpstr>
      <vt:lpstr>Loan_C07_Fair0</vt:lpstr>
      <vt:lpstr>Loan_C07_FairRate0</vt:lpstr>
      <vt:lpstr>Loan_C07_Index</vt:lpstr>
      <vt:lpstr>Loan_C07_Instrument</vt:lpstr>
      <vt:lpstr>Loan_C07_Net</vt:lpstr>
      <vt:lpstr>Loan_C07_Options</vt:lpstr>
      <vt:lpstr>Loan_C07_Pricer</vt:lpstr>
      <vt:lpstr>Loan_C07_PV</vt:lpstr>
      <vt:lpstr>Loan_C07_Rate</vt:lpstr>
      <vt:lpstr>Loan_C07_Repayment</vt:lpstr>
      <vt:lpstr>Loan_C07_Result</vt:lpstr>
      <vt:lpstr>Loan_C07_Setting_annualcpr</vt:lpstr>
      <vt:lpstr>Loan_C07_Trade</vt:lpstr>
      <vt:lpstr>Loan_C08_Discount</vt:lpstr>
      <vt:lpstr>Loan_C08_Fair0</vt:lpstr>
      <vt:lpstr>Loan_C08_FairRate0</vt:lpstr>
      <vt:lpstr>Loan_C08_Index</vt:lpstr>
      <vt:lpstr>Loan_C08_Instrument</vt:lpstr>
      <vt:lpstr>Loan_C08_Net</vt:lpstr>
      <vt:lpstr>Loan_C08_Options</vt:lpstr>
      <vt:lpstr>Loan_C08_Pricer</vt:lpstr>
      <vt:lpstr>Loan_C08_PV</vt:lpstr>
      <vt:lpstr>Loan_C08_Rate</vt:lpstr>
      <vt:lpstr>Loan_C08_Repayment</vt:lpstr>
      <vt:lpstr>Loan_C08_Result</vt:lpstr>
      <vt:lpstr>Loan_C08_Setting_creditindex</vt:lpstr>
      <vt:lpstr>Loan_C08_Setting_recovery</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Loan_C10_Options</vt:lpstr>
      <vt:lpstr>Loan_C10_Pricer</vt:lpstr>
      <vt:lpstr>Loan_C10_PV</vt:lpstr>
      <vt:lpstr>Loan_C10_Rate</vt:lpstr>
      <vt:lpstr>Loan_C10_Repayment</vt:lpstr>
      <vt:lpstr>Loan_C10_Result</vt:lpstr>
      <vt:lpstr>Loan_C10_Setting_amortizationrate</vt:lpstr>
      <vt:lpstr>Loan_C10_Trade</vt:lpstr>
      <vt:lpstr>Loan_C11_CouponIndices</vt:lpstr>
      <vt:lpstr>Loan_C11_CouponPeriods</vt:lpstr>
      <vt:lpstr>Loan_C11_CouponRates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Loan_C12_CouponIndices</vt:lpstr>
      <vt:lpstr>Loan_C12_CouponPeriods</vt:lpstr>
      <vt:lpstr>Loan_C12_CouponRates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Loan_CreditMid</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Loan_FundingCurrency</vt:lpstr>
      <vt:lpstr>Loan_FundingIndex</vt:lpstr>
      <vt:lpstr>Loan_FundingMapping</vt:lpstr>
      <vt:lpstr>Loan_FundingPolicy</vt:lpstr>
      <vt:lpstr>Loan_FundingPricer</vt:lpstr>
      <vt:lpstr>Loan_FundingSpreads</vt:lpstr>
      <vt:lpstr>Loan_MarketInputs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Loan_RiskFreeCurrency</vt:lpstr>
      <vt:lpstr>Loan_RiskFreeIndex</vt:lpstr>
      <vt:lpstr>Loan_RiskFreeMapping</vt:lpstr>
      <vt:lpstr>Loan_RiskFreePolicy</vt:lpstr>
      <vt:lpstr>Loan_RiskFreePricer</vt:lpstr>
      <vt:lpstr>Loan_Root</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