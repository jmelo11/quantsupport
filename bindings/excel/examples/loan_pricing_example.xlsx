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6"/>
  </bookViews>
  <sheets>
    <sheet name="README" sheetId="1" r:id="rId1"/>
    <sheet name="Market" sheetId="2" r:id="rId2"/>
    <sheet name="Loan Inputs" sheetId="3" r:id="rId3"/>
    <sheet name="Loan Settings" sheetId="4" r:id="rId4"/>
    <sheet name="Coupon Schedules" sheetId="5" r:id="rId5"/>
    <sheet name="Pricing" sheetId="6" r:id="rId6"/>
    <sheet name="Comparison" sheetId="7" r:id="rId7"/>
    <sheet name="Cashflows" sheetId="8" r:id="rId8"/>
    <sheet name="Risk" sheetId="9" r:id="rId9"/>
    <sheet name="Layouts" sheetId="10" r:id="rId10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<sst xmlns="http://schemas.openxmlformats.org/spreadsheetml/2006/main" count="184" uniqueCount="121">
  <si>
    <t>Loans: monthly payments, prepayment, borrower credit, and funding</t>
  </si>
  <si>
    <t>Load quantsupport.xll in 64-bit Windows Excel, then open this workbook and press Ctrl+Alt+F9.</t>
  </si>
  <si>
    <t>Blue cells are editable inputs. Rates and spreads are annual decimals; dates are ISO text.</t>
  </si>
  <si>
    <t>Compare French, bullet, and 25% balloon principal; then floating and introductory-fixed coupons.</t>
  </si>
  <si>
    <t>The lender's price is future receipt PV. Net origination value subtracts the original advance.</t>
  </si>
  <si>
    <t>CPR reduces future principal and interest; borrower survival and recovery use an illustrative CDS proxy.</t>
  </si>
  <si>
    <t>Funding discount factors multiply EURIBOR12m by a separate treasury-spread curve.</t>
  </si>
  <si>
    <t>FairRate bootstraps each rate segment: repay remaining capital at its end, solve, lock, and extend. Each FairRate(index) request returns one scalar; bounded coupons omit the solve.</t>
  </si>
  <si>
    <t>Cashflows include scheduled receipts, prepayments, and recovery in legs 0, 1, and 2. Bounded coupons exclude option time value.</t>
  </si>
  <si>
    <t>These are illustrative assumptions, following the questions explored in the Python notebook studies.</t>
  </si>
  <si>
    <t>Table functions end with transpose,headers. Defaults are FALSE,TRUE; TRUE,FALSE transposes without headers.</t>
  </si>
  <si>
    <t>Market reference date</t>
  </si>
  <si>
    <t>2026-02-24</t>
  </si>
  <si>
    <t>Pillar</t>
  </si>
  <si>
    <t>Continuous zero rate</t>
  </si>
  <si>
    <t>Quote store</t>
  </si>
  <si>
    <t>Configuration store</t>
  </si>
  <si>
    <t>Discount curve configuration</t>
  </si>
  <si>
    <t>Initialized pricing context</t>
  </si>
  <si>
    <t>Discount curve handle</t>
  </si>
  <si>
    <t>Change a zero-rate pillar and inspect prices, cashflows, and raw sensitivities.</t>
  </si>
  <si>
    <t>0D</t>
  </si>
  <si>
    <t>5Y</t>
  </si>
  <si>
    <t>10Y</t>
  </si>
  <si>
    <t>30Y</t>
  </si>
  <si>
    <t>35Y</t>
  </si>
  <si>
    <t>EURIBOR12m zero</t>
  </si>
  <si>
    <t>Funding zero spread</t>
  </si>
  <si>
    <t>Projection configuration</t>
  </si>
  <si>
    <t>Funding spread configuration</t>
  </si>
  <si>
    <t>Composite funding configuration</t>
  </si>
  <si>
    <t>Borrower CDS quote</t>
  </si>
  <si>
    <t>Spread</t>
  </si>
  <si>
    <t>Quote store revision</t>
  </si>
  <si>
    <t>Credit configurations</t>
  </si>
  <si>
    <t>Borrower credit configuration</t>
  </si>
  <si>
    <t>Credit index</t>
  </si>
  <si>
    <t>Credit:BORROWER</t>
  </si>
  <si>
    <t>Currency</t>
  </si>
  <si>
    <t>EUR</t>
  </si>
  <si>
    <t>Discount index</t>
  </si>
  <si>
    <t>ESTR</t>
  </si>
  <si>
    <t>Recovery</t>
  </si>
  <si>
    <t>Cds_BORROWER_EUR_1Y</t>
  </si>
  <si>
    <t>Cds_BORROWER_EUR_3Y</t>
  </si>
  <si>
    <t>Cds_BORROWER_EUR_5Y</t>
  </si>
  <si>
    <t>Cds_BORROWER_EUR_10Y</t>
  </si>
  <si>
    <t>Cds_BORROWER_EUR_20Y</t>
  </si>
  <si>
    <t>Cds_BORROWER_EUR_30Y</t>
  </si>
  <si>
    <t>Cds_BORROWER_EUR_35Y</t>
  </si>
  <si>
    <t>Principal (EUR)</t>
  </si>
  <si>
    <t>Fixed coupon</t>
  </si>
  <si>
    <t>Floating margin</t>
  </si>
  <si>
    <t>Start date</t>
  </si>
  <si>
    <t>Maturity date</t>
  </si>
  <si>
    <t>2056-02-24</t>
  </si>
  <si>
    <t>Payment frequency</t>
  </si>
  <si>
    <t>Monthly</t>
  </si>
  <si>
    <t>Day counter</t>
  </si>
  <si>
    <t>Actual360</t>
  </si>
  <si>
    <t>Floating principal is agreed at a 5% initial all-in rate; annual resets use EURIBOR12m metadata.</t>
  </si>
  <si>
    <t>The default zero fixing lag makes the first observation today's projected fixing; no historical fixing is required.</t>
  </si>
  <si>
    <t>Index</t>
  </si>
  <si>
    <t>FUNDING</t>
  </si>
  <si>
    <t>Native discount policy</t>
  </si>
  <si>
    <t>Native pricer</t>
  </si>
  <si>
    <t>Value</t>
  </si>
  <si>
    <t>Cashflows</t>
  </si>
  <si>
    <t>Sensitivities</t>
  </si>
  <si>
    <t>Case</t>
  </si>
  <si>
    <t>Coupon / spread</t>
  </si>
  <si>
    <t>Projection index</t>
  </si>
  <si>
    <t>Repayment</t>
  </si>
  <si>
    <t>Editable settings / coupons</t>
  </si>
  <si>
    <t>Loan trade</t>
  </si>
  <si>
    <t>Receipt PV (EUR)</t>
  </si>
  <si>
    <t>PV less advance</t>
  </si>
  <si>
    <t>Fair first segment</t>
  </si>
  <si>
    <t>Fair second segment</t>
  </si>
  <si>
    <t>Fair third segment</t>
  </si>
  <si>
    <t>Instrument</t>
  </si>
  <si>
    <t>Pricer</t>
  </si>
  <si>
    <t>Evaluation results</t>
  </si>
  <si>
    <t>Fair target 0 results</t>
  </si>
  <si>
    <t>Fair target 1 results</t>
  </si>
  <si>
    <t>Fair target 2 results</t>
  </si>
  <si>
    <t>French</t>
  </si>
  <si>
    <t>Default settings</t>
  </si>
  <si>
    <t>Bullet</t>
  </si>
  <si>
    <t>25% balloon</t>
  </si>
  <si>
    <t>Setting</t>
  </si>
  <si>
    <t>Balloon fraction</t>
  </si>
  <si>
    <t>Balloon</t>
  </si>
  <si>
    <t>Edit settings</t>
  </si>
  <si>
    <t>Floating</t>
  </si>
  <si>
    <t>Amortization rate</t>
  </si>
  <si>
    <t>EURIBOR12m</t>
  </si>
  <si>
    <t>5-year introductory fixed</t>
  </si>
  <si>
    <t>Periods</t>
  </si>
  <si>
    <t>Rate / spread</t>
  </si>
  <si>
    <t>Market index</t>
  </si>
  <si>
    <t>Edit coupon schedule</t>
  </si>
  <si>
    <t>Bounded floating</t>
  </si>
  <si>
    <t>Floor</t>
  </si>
  <si>
    <t>Cap</t>
  </si>
  <si>
    <t>Unsupported for bounded coupons</t>
  </si>
  <si>
    <t>15% annual CPR</t>
  </si>
  <si>
    <t>Annual CPR</t>
  </si>
  <si>
    <t>Borrower credit</t>
  </si>
  <si>
    <t>Funded fixed</t>
  </si>
  <si>
    <t>Funded floating</t>
  </si>
  <si>
    <t>Stepped fixed</t>
  </si>
  <si>
    <t>Stepped then floating</t>
  </si>
  <si>
    <t>French contractual receipts</t>
  </si>
  <si>
    <t>Expected receipts with prepayment</t>
  </si>
  <si>
    <t>Funding risk: raw EUR per unit pillar</t>
  </si>
  <si>
    <t>Floating funding risk</t>
  </si>
  <si>
    <t>Multiply a decimal-rate derivative by 0.0001 for an approximate +1 bp value change.</t>
  </si>
  <si>
    <t>Funding risk transposed, headers hidden</t>
  </si>
  <si>
    <t>Same risk with headers (row labels after transposing)</t>
  </si>
  <si>
    <t>First year payment dates as a row (list, no headers)</t>
  </si>
</sst>
</file>

<file path=xl/styles.xml><?xml version="1.0" encoding="utf-8"?>
<styleSheet xmlns="http://schemas.openxmlformats.org/spreadsheetml/2006/main">
  <numFmts count="2">
    <numFmt numFmtId="164" formatCode="0.0000%"/>
    <numFmt numFmtId="165" formatCode="#,##0.00"/>
  </numFmts>
  <fonts count="5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2C5AA0"/>
        <bgColor indexed="64"/>
      </patternFill>
    </fill>
    <fill>
      <patternFill patternType="solid">
        <fgColor rgb="FFCFD9E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3" fillId="5" borderId="0" xfId="0" applyFont="1" applyFill="1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0" fontId="4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5.7109375" style="1" customWidth="1"/>
    <col min="2" max="12" width="22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4" spans="1:6" ht="34" customHeight="1">
      <c r="A4" s="1" t="s">
        <v>1</v>
      </c>
    </row>
    <row r="5" spans="1:6" ht="34" customHeight="1">
      <c r="A5" s="1" t="s">
        <v>2</v>
      </c>
    </row>
    <row r="6" spans="1:6" ht="34" customHeight="1">
      <c r="A6" s="1" t="s">
        <v>3</v>
      </c>
    </row>
    <row r="7" spans="1:6" ht="34" customHeight="1">
      <c r="A7" s="1" t="s">
        <v>4</v>
      </c>
    </row>
    <row r="8" spans="1:6" ht="34" customHeight="1">
      <c r="A8" s="1" t="s">
        <v>5</v>
      </c>
    </row>
    <row r="9" spans="1:6" ht="34" customHeight="1">
      <c r="A9" s="1" t="s">
        <v>6</v>
      </c>
    </row>
    <row r="10" spans="1:6" ht="34" customHeight="1">
      <c r="A10" s="1" t="s">
        <v>7</v>
      </c>
    </row>
    <row r="11" spans="1:6" ht="34" customHeight="1">
      <c r="A11" s="1" t="s">
        <v>8</v>
      </c>
    </row>
    <row r="12" spans="1:6" ht="34" customHeight="1">
      <c r="A12" s="1" t="s">
        <v>9</v>
      </c>
    </row>
    <row r="13" spans="1:6" ht="34" customHeight="1">
      <c r="A13" s="1" t="s">
        <v>10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L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4" width="22.7109375" style="1" customWidth="1"/>
    <col min="5" max="5" width="32.7109375" customWidth="1"/>
    <col min="6" max="6" width="58.7109375" customWidth="1"/>
    <col min="7" max="7" width="22.7109375" style="1" customWidth="1"/>
    <col min="8" max="8" width="42.7109375" customWidth="1"/>
    <col min="9" max="9" width="22.7109375" style="1" customWidth="1"/>
    <col min="10" max="10" width="58.7109375" customWidth="1"/>
    <col min="11" max="12" width="22.7109375" style="1" customWidth="1"/>
  </cols>
  <sheetData>
    <row r="3" spans="1:10">
      <c r="A3" s="1" t="s">
        <v>11</v>
      </c>
      <c r="B3" s="3" t="s">
        <v>12</v>
      </c>
      <c r="E3" s="1" t="s">
        <v>15</v>
      </c>
      <c r="F3" s="1" cm="1">
        <f t="array" ref="F3">_xll.QS.QUOTES.CREATE("Loans.Quotes",B3)</f>
        <v>0</v>
      </c>
    </row>
    <row r="4" spans="1:10">
      <c r="E4" s="1" t="s">
        <v>16</v>
      </c>
      <c r="F4" s="1" cm="1">
        <f t="array" ref="F4">_xll.QS.CURVE.CONFIGS.CREATE("Loans.Curves")</f>
        <v>0</v>
      </c>
    </row>
    <row r="5" spans="1:10">
      <c r="A5" s="1" t="s">
        <v>13</v>
      </c>
      <c r="B5" s="1" t="s">
        <v>14</v>
      </c>
      <c r="C5" s="4" t="s">
        <v>26</v>
      </c>
      <c r="D5" s="4" t="s">
        <v>27</v>
      </c>
      <c r="H5" t="s">
        <v>31</v>
      </c>
      <c r="I5" s="1" t="s">
        <v>32</v>
      </c>
      <c r="J5" t="s">
        <v>33</v>
      </c>
    </row>
    <row r="6" spans="1:10">
      <c r="A6" s="3" t="s">
        <v>21</v>
      </c>
      <c r="B6" s="5">
        <v>0.03</v>
      </c>
      <c r="C6" s="5">
        <v>0.04</v>
      </c>
      <c r="D6" s="5">
        <v>0.005</v>
      </c>
      <c r="E6" s="1" t="s">
        <v>17</v>
      </c>
      <c r="F6" s="1" cm="1">
        <f t="array" ref="F6">_xll.QS.CURVE.CONFIGS.ADD.ZERO(F4,"ESTR","Actual360","Linear",TRUE,A6:A10,B6:B10,"Continuous","Annual")</f>
        <v>0</v>
      </c>
      <c r="H6" t="s">
        <v>43</v>
      </c>
      <c r="I6" s="5">
        <v>0.005</v>
      </c>
      <c r="J6" cm="1">
        <f t="array" ref="J6">_xll.QS.QUOTES.SET($F$3,H6,I6,,)</f>
        <v>0</v>
      </c>
    </row>
    <row r="7" spans="1:10">
      <c r="A7" s="3" t="s">
        <v>22</v>
      </c>
      <c r="B7" s="5">
        <v>0.03</v>
      </c>
      <c r="C7" s="5">
        <v>0.037</v>
      </c>
      <c r="D7" s="5">
        <v>0.01</v>
      </c>
      <c r="E7" t="s">
        <v>28</v>
      </c>
      <c r="F7" cm="1">
        <f t="array" ref="F7">_xll.QS.CURVE.CONFIGS.ADD.ZERO(F6,"EURIBOR12m","Actual360","Linear",TRUE,A6:A10,C6:C10,"Continuous","Annual")</f>
        <v>0</v>
      </c>
      <c r="H7" t="s">
        <v>44</v>
      </c>
      <c r="I7" s="5">
        <v>0.007</v>
      </c>
      <c r="J7" cm="1">
        <f t="array" ref="J7">_xll.QS.QUOTES.SET(J6,H7,I7,,)</f>
        <v>0</v>
      </c>
    </row>
    <row r="8" spans="1:10">
      <c r="A8" s="3" t="s">
        <v>23</v>
      </c>
      <c r="B8" s="5">
        <v>0.032</v>
      </c>
      <c r="C8" s="5">
        <v>0.04</v>
      </c>
      <c r="D8" s="5">
        <v>0.011</v>
      </c>
      <c r="E8" t="s">
        <v>29</v>
      </c>
      <c r="F8" cm="1">
        <f t="array" ref="F8">_xll.QS.CURVE.CONFIGS.ADD.ZERO(F7,"FUNDINGSPREAD","Actual360","Linear",TRUE,A6:A10,D6:D10,"Continuous","Annual")</f>
        <v>0</v>
      </c>
      <c r="H8" t="s">
        <v>45</v>
      </c>
      <c r="I8" s="5">
        <v>0.008999999999999999</v>
      </c>
      <c r="J8" cm="1">
        <f t="array" ref="J8">_xll.QS.QUOTES.SET(J7,H8,I8,,)</f>
        <v>0</v>
      </c>
    </row>
    <row r="9" spans="1:10">
      <c r="A9" s="3" t="s">
        <v>24</v>
      </c>
      <c r="B9" s="5">
        <v>0.034</v>
      </c>
      <c r="C9" s="5">
        <v>0.0415</v>
      </c>
      <c r="D9" s="5">
        <v>0.014</v>
      </c>
      <c r="E9" t="s">
        <v>30</v>
      </c>
      <c r="F9" cm="1">
        <f t="array" ref="F9">_xll.QS.CURVE.CONFIGS.ADD.COMPOSITE(F8,"FUNDING","EURIBOR12m","FUNDINGSPREAD")</f>
        <v>0</v>
      </c>
      <c r="H9" t="s">
        <v>46</v>
      </c>
      <c r="I9" s="5">
        <v>0.011</v>
      </c>
      <c r="J9" cm="1">
        <f t="array" ref="J9">_xll.QS.QUOTES.SET(J8,H9,I9,,)</f>
        <v>0</v>
      </c>
    </row>
    <row r="10" spans="1:10">
      <c r="A10" s="3" t="s">
        <v>25</v>
      </c>
      <c r="B10" s="5">
        <v>0.035</v>
      </c>
      <c r="C10" s="5">
        <v>0.0415</v>
      </c>
      <c r="D10" s="5">
        <v>0.015</v>
      </c>
      <c r="E10" t="s">
        <v>34</v>
      </c>
      <c r="F10" cm="1">
        <f t="array" ref="F10">_xll.QS.CREDIT.CURVE.CONFIGS.CREATE("Loans.Credit")</f>
        <v>0</v>
      </c>
      <c r="H10" t="s">
        <v>47</v>
      </c>
      <c r="I10" s="5">
        <v>0.014</v>
      </c>
      <c r="J10" cm="1">
        <f t="array" ref="J10">_xll.QS.QUOTES.SET(J9,H10,I10,,)</f>
        <v>0</v>
      </c>
    </row>
    <row r="11" spans="1:10">
      <c r="E11" s="1" t="s">
        <v>18</v>
      </c>
      <c r="F11" cm="1">
        <f t="array" ref="F11">_xll.QS.CONTEXT.CREATE("Loans.Context",J12,F9,F13,,,,,,,,,"EUR","ESTR")</f>
        <v>0</v>
      </c>
      <c r="H11" t="s">
        <v>48</v>
      </c>
      <c r="I11" s="5">
        <v>0.016</v>
      </c>
      <c r="J11" cm="1">
        <f t="array" ref="J11">_xll.QS.QUOTES.SET(J10,H11,I11,,)</f>
        <v>0</v>
      </c>
    </row>
    <row r="12" spans="1:10">
      <c r="E12" s="1" t="s">
        <v>19</v>
      </c>
      <c r="F12" s="1" cm="1">
        <f t="array" ref="F12">_xll.QS.CURVE.GET(F11,"ESTR")</f>
        <v>0</v>
      </c>
      <c r="H12" t="s">
        <v>49</v>
      </c>
      <c r="I12" s="5">
        <v>0.017</v>
      </c>
      <c r="J12" cm="1">
        <f t="array" ref="J12">_xll.QS.QUOTES.SET(J11,H12,I12,,)</f>
        <v>0</v>
      </c>
    </row>
    <row r="13" spans="1:10">
      <c r="E13" t="s">
        <v>35</v>
      </c>
      <c r="F13" cm="1">
        <f t="array" ref="F13">_xll.QS.CREDIT.CURVE.CONFIGS.ADD(F10,I15,I16,I17,I18,H6:H12)</f>
        <v>0</v>
      </c>
    </row>
    <row r="14" spans="1:10">
      <c r="A14" s="1" t="s">
        <v>20</v>
      </c>
    </row>
    <row r="15" spans="1:10">
      <c r="H15" t="s">
        <v>36</v>
      </c>
      <c r="I15" s="1" t="s">
        <v>37</v>
      </c>
    </row>
    <row r="16" spans="1:10">
      <c r="H16" t="s">
        <v>38</v>
      </c>
      <c r="I16" s="1" t="s">
        <v>39</v>
      </c>
    </row>
    <row r="17" spans="8:9">
      <c r="H17" t="s">
        <v>40</v>
      </c>
      <c r="I17" s="1" t="s">
        <v>41</v>
      </c>
    </row>
    <row r="18" spans="8:9">
      <c r="H18" t="s">
        <v>42</v>
      </c>
      <c r="I18" s="5">
        <v>0.4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4:L1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12" width="22.7109375" style="1" customWidth="1"/>
  </cols>
  <sheetData>
    <row r="4" spans="1:2">
      <c r="A4" t="s">
        <v>50</v>
      </c>
      <c r="B4" s="3">
        <v>250000</v>
      </c>
    </row>
    <row r="5" spans="1:2">
      <c r="A5" t="s">
        <v>51</v>
      </c>
      <c r="B5" s="5">
        <v>0.06</v>
      </c>
    </row>
    <row r="6" spans="1:2">
      <c r="A6" t="s">
        <v>52</v>
      </c>
      <c r="B6" s="5">
        <v>0.01</v>
      </c>
    </row>
    <row r="7" spans="1:2">
      <c r="A7" t="s">
        <v>53</v>
      </c>
      <c r="B7" s="3" t="s">
        <v>12</v>
      </c>
    </row>
    <row r="8" spans="1:2">
      <c r="A8" t="s">
        <v>54</v>
      </c>
      <c r="B8" s="3" t="s">
        <v>55</v>
      </c>
    </row>
    <row r="9" spans="1:2">
      <c r="A9" t="s">
        <v>56</v>
      </c>
      <c r="B9" s="3" t="s">
        <v>57</v>
      </c>
    </row>
    <row r="10" spans="1:2">
      <c r="A10" t="s">
        <v>58</v>
      </c>
      <c r="B10" s="3" t="s">
        <v>59</v>
      </c>
    </row>
    <row r="11" spans="1:2">
      <c r="A11" t="s">
        <v>38</v>
      </c>
      <c r="B11" s="3" t="s">
        <v>39</v>
      </c>
    </row>
    <row r="14" spans="1:2">
      <c r="A14" t="s">
        <v>60</v>
      </c>
    </row>
    <row r="15" spans="1:2">
      <c r="A15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L3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0.7109375" customWidth="1"/>
    <col min="2" max="2" width="25.7109375" customWidth="1"/>
    <col min="3" max="12" width="22.7109375" style="1" customWidth="1"/>
  </cols>
  <sheetData>
    <row r="3" spans="1:2">
      <c r="A3" s="6" t="s">
        <v>89</v>
      </c>
    </row>
    <row r="4" spans="1:2">
      <c r="A4" s="4" t="s">
        <v>90</v>
      </c>
      <c r="B4" s="4" t="s">
        <v>66</v>
      </c>
    </row>
    <row r="5" spans="1:2">
      <c r="A5" t="s">
        <v>91</v>
      </c>
      <c r="B5" s="5">
        <v>0.25</v>
      </c>
    </row>
    <row r="8" spans="1:2">
      <c r="A8" s="6" t="s">
        <v>94</v>
      </c>
    </row>
    <row r="9" spans="1:2">
      <c r="A9" s="4" t="s">
        <v>90</v>
      </c>
      <c r="B9" s="4" t="s">
        <v>66</v>
      </c>
    </row>
    <row r="10" spans="1:2">
      <c r="A10" t="s">
        <v>95</v>
      </c>
      <c r="B10" s="5">
        <v>0.05</v>
      </c>
    </row>
    <row r="13" spans="1:2">
      <c r="A13" s="6" t="s">
        <v>102</v>
      </c>
    </row>
    <row r="14" spans="1:2">
      <c r="A14" s="4" t="s">
        <v>90</v>
      </c>
      <c r="B14" s="4" t="s">
        <v>66</v>
      </c>
    </row>
    <row r="15" spans="1:2">
      <c r="A15" t="s">
        <v>95</v>
      </c>
      <c r="B15" s="5">
        <v>0.05</v>
      </c>
    </row>
    <row r="16" spans="1:2">
      <c r="A16" t="s">
        <v>103</v>
      </c>
      <c r="B16" s="5">
        <v>0.02</v>
      </c>
    </row>
    <row r="17" spans="1:2">
      <c r="A17" t="s">
        <v>104</v>
      </c>
      <c r="B17" s="5">
        <v>0.045</v>
      </c>
    </row>
    <row r="20" spans="1:2">
      <c r="A20" s="6" t="s">
        <v>106</v>
      </c>
    </row>
    <row r="21" spans="1:2">
      <c r="A21" s="4" t="s">
        <v>90</v>
      </c>
      <c r="B21" s="4" t="s">
        <v>66</v>
      </c>
    </row>
    <row r="22" spans="1:2">
      <c r="A22" t="s">
        <v>107</v>
      </c>
      <c r="B22" s="5">
        <v>0.15</v>
      </c>
    </row>
    <row r="25" spans="1:2">
      <c r="A25" s="6" t="s">
        <v>108</v>
      </c>
    </row>
    <row r="26" spans="1:2">
      <c r="A26" s="4" t="s">
        <v>90</v>
      </c>
      <c r="B26" s="4" t="s">
        <v>66</v>
      </c>
    </row>
    <row r="27" spans="1:2">
      <c r="A27" t="s">
        <v>36</v>
      </c>
      <c r="B27" s="3" t="s">
        <v>37</v>
      </c>
    </row>
    <row r="28" spans="1:2">
      <c r="A28" t="s">
        <v>42</v>
      </c>
      <c r="B28" s="5">
        <v>0.4</v>
      </c>
    </row>
    <row r="31" spans="1:2">
      <c r="A31" s="6" t="s">
        <v>110</v>
      </c>
    </row>
    <row r="32" spans="1:2">
      <c r="A32" s="4" t="s">
        <v>90</v>
      </c>
      <c r="B32" s="4" t="s">
        <v>66</v>
      </c>
    </row>
    <row r="33" spans="1:2">
      <c r="A33" t="s">
        <v>95</v>
      </c>
      <c r="B33" s="5">
        <v>0.05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L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3" width="23.7109375" customWidth="1"/>
    <col min="4" max="12" width="22.7109375" style="1" customWidth="1"/>
  </cols>
  <sheetData>
    <row r="3" spans="1:3">
      <c r="A3" s="6" t="s">
        <v>97</v>
      </c>
    </row>
    <row r="4" spans="1:3">
      <c r="A4" s="4" t="s">
        <v>98</v>
      </c>
      <c r="B4" s="4" t="s">
        <v>99</v>
      </c>
      <c r="C4" s="4" t="s">
        <v>100</v>
      </c>
    </row>
    <row r="5" spans="1:3">
      <c r="A5" s="3">
        <v>60</v>
      </c>
      <c r="B5" s="5">
        <v>0.04</v>
      </c>
      <c r="C5" s="3"/>
    </row>
    <row r="6" spans="1:3">
      <c r="B6" s="5">
        <f>'Loan Inputs'!$B$6</f>
        <v>0</v>
      </c>
      <c r="C6" s="3" t="s">
        <v>96</v>
      </c>
    </row>
    <row r="9" spans="1:3">
      <c r="A9" s="6" t="s">
        <v>111</v>
      </c>
    </row>
    <row r="10" spans="1:3">
      <c r="A10" s="4" t="s">
        <v>98</v>
      </c>
      <c r="B10" s="4" t="s">
        <v>99</v>
      </c>
      <c r="C10" s="4" t="s">
        <v>100</v>
      </c>
    </row>
    <row r="11" spans="1:3">
      <c r="A11" s="3">
        <v>60</v>
      </c>
      <c r="B11" s="5">
        <v>0.03</v>
      </c>
      <c r="C11" s="3"/>
    </row>
    <row r="12" spans="1:3">
      <c r="A12" s="3">
        <v>60</v>
      </c>
      <c r="B12" s="5">
        <v>0.04</v>
      </c>
      <c r="C12" s="3"/>
    </row>
    <row r="13" spans="1:3">
      <c r="B13" s="5">
        <v>0.05</v>
      </c>
      <c r="C13" s="3"/>
    </row>
    <row r="16" spans="1:3">
      <c r="A16" s="6" t="s">
        <v>112</v>
      </c>
    </row>
    <row r="17" spans="1:3">
      <c r="A17" s="4" t="s">
        <v>98</v>
      </c>
      <c r="B17" s="4" t="s">
        <v>99</v>
      </c>
      <c r="C17" s="4" t="s">
        <v>100</v>
      </c>
    </row>
    <row r="18" spans="1:3">
      <c r="A18" s="3">
        <v>60</v>
      </c>
      <c r="B18" s="5">
        <v>0.03</v>
      </c>
      <c r="C18" s="3"/>
    </row>
    <row r="19" spans="1:3">
      <c r="A19" s="3">
        <v>60</v>
      </c>
      <c r="B19" s="5">
        <v>0.04</v>
      </c>
      <c r="C19" s="3"/>
    </row>
    <row r="20" spans="1:3">
      <c r="B20" s="5">
        <v>0.01</v>
      </c>
      <c r="C20" s="3" t="s"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6.7109375" customWidth="1"/>
    <col min="3" max="4" width="58.7109375" customWidth="1"/>
    <col min="5" max="12" width="22.7109375" style="1" customWidth="1"/>
  </cols>
  <sheetData>
    <row r="3" spans="1:4">
      <c r="A3" t="s">
        <v>38</v>
      </c>
      <c r="B3" t="s">
        <v>62</v>
      </c>
      <c r="C3" t="s">
        <v>64</v>
      </c>
      <c r="D3" t="s">
        <v>65</v>
      </c>
    </row>
    <row r="4" spans="1:4">
      <c r="A4" t="s">
        <v>39</v>
      </c>
      <c r="B4" t="s">
        <v>41</v>
      </c>
      <c r="C4" cm="1">
        <f t="array" ref="C4">_xll.QS.DISCOUNT.POLICY.FIXED.INCOME("Loans.RiskFreePolicy",A4:B4)</f>
        <v>0</v>
      </c>
      <c r="D4" cm="1">
        <f t="array" ref="D4">_xll.QS.PRICER.CREATE("Loans.RiskFreePricer","LoanPricer",C4)</f>
        <v>0</v>
      </c>
    </row>
    <row r="5" spans="1:4">
      <c r="A5" t="s">
        <v>39</v>
      </c>
      <c r="B5" t="s">
        <v>63</v>
      </c>
      <c r="C5" cm="1">
        <f t="array" ref="C5">_xll.QS.DISCOUNT.POLICY.FIXED.INCOME("Loans.FundingPolicy",A5:B5)</f>
        <v>0</v>
      </c>
      <c r="D5" cm="1">
        <f t="array" ref="D5">_xll.QS.PRICER.CREATE("Loans.FundingPricer","LoanPricer",C5)</f>
        <v>0</v>
      </c>
    </row>
    <row r="8" spans="1:4">
      <c r="A8" t="s">
        <v>66</v>
      </c>
      <c r="B8" cm="1">
        <f t="array" ref="B8">_xll.QS.REQUEST.FAIR.RATE(0)</f>
        <v>0</v>
      </c>
    </row>
    <row r="9" spans="1:4">
      <c r="A9" t="s">
        <v>67</v>
      </c>
      <c r="B9" cm="1">
        <f t="array" ref="B9">_xll.QS.REQUEST.FAIR.RATE(1)</f>
        <v>0</v>
      </c>
    </row>
    <row r="10" spans="1:4">
      <c r="A10" t="s">
        <v>68</v>
      </c>
      <c r="B10" cm="1">
        <f t="array" ref="B10">_xll.QS.REQUEST.FAIR.RATE(2)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4:Q16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31.7109375" customWidth="1"/>
    <col min="2" max="4" width="22.7109375" style="1" customWidth="1"/>
    <col min="5" max="5" width="26.7109375" customWidth="1"/>
    <col min="6" max="6" width="48.7109375" customWidth="1"/>
    <col min="7" max="8" width="22.7109375" style="1" customWidth="1"/>
    <col min="9" max="11" width="21.7109375" style="7" customWidth="1"/>
    <col min="12" max="17" width="48.7109375" customWidth="1"/>
  </cols>
  <sheetData>
    <row r="4" spans="1:17">
      <c r="A4" s="4" t="s">
        <v>69</v>
      </c>
      <c r="B4" s="4" t="s">
        <v>70</v>
      </c>
      <c r="C4" s="4" t="s">
        <v>71</v>
      </c>
      <c r="D4" s="4" t="s">
        <v>72</v>
      </c>
      <c r="E4" s="4" t="s">
        <v>73</v>
      </c>
      <c r="F4" s="4" t="s">
        <v>74</v>
      </c>
      <c r="G4" s="4" t="s">
        <v>75</v>
      </c>
      <c r="H4" s="4" t="s">
        <v>76</v>
      </c>
      <c r="I4" s="4" t="s">
        <v>77</v>
      </c>
      <c r="J4" s="4" t="s">
        <v>78</v>
      </c>
      <c r="K4" s="4" t="s">
        <v>79</v>
      </c>
      <c r="L4" s="4" t="s">
        <v>80</v>
      </c>
      <c r="M4" s="4" t="s">
        <v>81</v>
      </c>
      <c r="N4" s="4" t="s">
        <v>82</v>
      </c>
      <c r="O4" s="4" t="s">
        <v>83</v>
      </c>
      <c r="P4" s="4" t="s">
        <v>84</v>
      </c>
      <c r="Q4" s="4" t="s">
        <v>85</v>
      </c>
    </row>
    <row r="5" spans="1:17">
      <c r="A5" t="s">
        <v>86</v>
      </c>
      <c r="B5" s="7">
        <f>'Loan Inputs'!B5</f>
        <v>0</v>
      </c>
      <c r="C5" s="3"/>
      <c r="D5" s="3" t="s">
        <v>86</v>
      </c>
      <c r="E5" t="s">
        <v>87</v>
      </c>
      <c r="F5" cm="1">
        <f t="array" ref="F5">_xll.QS.TRADE.CREATE("Loans.Trade5",L5,Market!$B$3,"Receive")</f>
        <v>0</v>
      </c>
      <c r="G5" s="8" cm="1">
        <f t="array" ref="G5">_xll.QS.RESULT.VALUE(N5)</f>
        <v>0</v>
      </c>
      <c r="H5" s="8">
        <f>G5-'Loan Inputs'!$B$4</f>
        <v>0</v>
      </c>
      <c r="I5" s="7" cm="1">
        <f t="array" ref="I5">_xll.QS.RESULT.FAIR.RATE(O5)</f>
        <v>0</v>
      </c>
      <c r="L5" cm="1">
        <f t="array" ref="L5">_xll.QS.INSTRUMENT.LOAN("Loans.Instrument5",'Loan Inputs'!$B$7,'Loan Inputs'!$B$8,'Loan Inputs'!$B$11,'Loan Inputs'!$B$4,B5,C5,D5,'Loan Inputs'!$B$9,'Loan Inputs'!$B$10,,)</f>
        <v>0</v>
      </c>
      <c r="M5">
        <f>Pricing!D4</f>
        <v>0</v>
      </c>
      <c r="N5" cm="1">
        <f t="array" ref="N5">_xll.QS.EVALUATE("Loans.Results5",M5,F5,Market!$F$11,Pricing!$A$8:$A$10)</f>
        <v>0</v>
      </c>
      <c r="O5" cm="1">
        <f t="array" ref="O5">_xll.QS.EVALUATE("Loans.Fair5.0",M5,F5,Market!$F$11,Pricing!$B$8)</f>
        <v>0</v>
      </c>
    </row>
    <row r="6" spans="1:17">
      <c r="A6" t="s">
        <v>88</v>
      </c>
      <c r="B6" s="7">
        <f>'Loan Inputs'!B5</f>
        <v>0</v>
      </c>
      <c r="C6" s="3"/>
      <c r="D6" s="3" t="s">
        <v>88</v>
      </c>
      <c r="E6" t="s">
        <v>87</v>
      </c>
      <c r="F6" cm="1">
        <f t="array" ref="F6">_xll.QS.TRADE.CREATE("Loans.Trade6",L6,Market!$B$3,"Receive")</f>
        <v>0</v>
      </c>
      <c r="G6" s="8" cm="1">
        <f t="array" ref="G6">_xll.QS.RESULT.VALUE(N6)</f>
        <v>0</v>
      </c>
      <c r="H6" s="8">
        <f>G6-'Loan Inputs'!$B$4</f>
        <v>0</v>
      </c>
      <c r="I6" s="7" cm="1">
        <f t="array" ref="I6">_xll.QS.RESULT.FAIR.RATE(O6)</f>
        <v>0</v>
      </c>
      <c r="L6" cm="1">
        <f t="array" ref="L6">_xll.QS.INSTRUMENT.LOAN("Loans.Instrument6",'Loan Inputs'!$B$7,'Loan Inputs'!$B$8,'Loan Inputs'!$B$11,'Loan Inputs'!$B$4,B6,C6,D6,'Loan Inputs'!$B$9,'Loan Inputs'!$B$10,,)</f>
        <v>0</v>
      </c>
      <c r="M6">
        <f>Pricing!D4</f>
        <v>0</v>
      </c>
      <c r="N6" cm="1">
        <f t="array" ref="N6">_xll.QS.EVALUATE("Loans.Results6",M6,F6,Market!$F$11,Pricing!$A$8:$A$10)</f>
        <v>0</v>
      </c>
      <c r="O6" cm="1">
        <f t="array" ref="O6">_xll.QS.EVALUATE("Loans.Fair6.0",M6,F6,Market!$F$11,Pricing!$B$8)</f>
        <v>0</v>
      </c>
    </row>
    <row r="7" spans="1:17">
      <c r="A7" t="s">
        <v>89</v>
      </c>
      <c r="B7" s="7">
        <f>'Loan Inputs'!B5</f>
        <v>0</v>
      </c>
      <c r="C7" s="3"/>
      <c r="D7" s="3" t="s">
        <v>92</v>
      </c>
      <c r="E7" s="9" t="s">
        <v>93</v>
      </c>
      <c r="F7" cm="1">
        <f t="array" ref="F7">_xll.QS.TRADE.CREATE("Loans.Trade7",L7,Market!$B$3,"Receive")</f>
        <v>0</v>
      </c>
      <c r="G7" s="8" cm="1">
        <f t="array" ref="G7">_xll.QS.RESULT.VALUE(N7)</f>
        <v>0</v>
      </c>
      <c r="H7" s="8">
        <f>G7-'Loan Inputs'!$B$4</f>
        <v>0</v>
      </c>
      <c r="I7" s="7" cm="1">
        <f t="array" ref="I7">_xll.QS.RESULT.FAIR.RATE(O7)</f>
        <v>0</v>
      </c>
      <c r="L7" cm="1">
        <f t="array" ref="L7">_xll.QS.INSTRUMENT.LOAN("Loans.Instrument7",'Loan Inputs'!$B$7,'Loan Inputs'!$B$8,'Loan Inputs'!$B$11,'Loan Inputs'!$B$4,B7,C7,D7,'Loan Inputs'!$B$9,'Loan Inputs'!$B$10,'Loan Settings'!A4:B5,)</f>
        <v>0</v>
      </c>
      <c r="M7">
        <f>Pricing!D4</f>
        <v>0</v>
      </c>
      <c r="N7" cm="1">
        <f t="array" ref="N7">_xll.QS.EVALUATE("Loans.Results7",M7,F7,Market!$F$11,Pricing!$A$8:$A$10)</f>
        <v>0</v>
      </c>
      <c r="O7" cm="1">
        <f t="array" ref="O7">_xll.QS.EVALUATE("Loans.Fair7.0",M7,F7,Market!$F$11,Pricing!$B$8)</f>
        <v>0</v>
      </c>
    </row>
    <row r="8" spans="1:17">
      <c r="A8" t="s">
        <v>94</v>
      </c>
      <c r="B8" s="7">
        <f>'Loan Inputs'!B6</f>
        <v>0</v>
      </c>
      <c r="C8" s="3" t="s">
        <v>96</v>
      </c>
      <c r="D8" s="3" t="s">
        <v>86</v>
      </c>
      <c r="E8" s="9" t="s">
        <v>93</v>
      </c>
      <c r="F8" cm="1">
        <f t="array" ref="F8">_xll.QS.TRADE.CREATE("Loans.Trade8",L8,Market!$B$3,"Receive")</f>
        <v>0</v>
      </c>
      <c r="G8" s="8" cm="1">
        <f t="array" ref="G8">_xll.QS.RESULT.VALUE(N8)</f>
        <v>0</v>
      </c>
      <c r="H8" s="8">
        <f>G8-'Loan Inputs'!$B$4</f>
        <v>0</v>
      </c>
      <c r="I8" s="7" cm="1">
        <f t="array" ref="I8">_xll.QS.RESULT.FAIR.RATE(O8)</f>
        <v>0</v>
      </c>
      <c r="L8" cm="1">
        <f t="array" ref="L8">_xll.QS.INSTRUMENT.LOAN("Loans.Instrument8",'Loan Inputs'!$B$7,'Loan Inputs'!$B$8,'Loan Inputs'!$B$11,'Loan Inputs'!$B$4,B8,C8,D8,'Loan Inputs'!$B$9,'Loan Inputs'!$B$10,'Loan Settings'!A9:B10,)</f>
        <v>0</v>
      </c>
      <c r="M8">
        <f>Pricing!D4</f>
        <v>0</v>
      </c>
      <c r="N8" cm="1">
        <f t="array" ref="N8">_xll.QS.EVALUATE("Loans.Results8",M8,F8,Market!$F$11,Pricing!$A$8:$A$10)</f>
        <v>0</v>
      </c>
      <c r="O8" cm="1">
        <f t="array" ref="O8">_xll.QS.EVALUATE("Loans.Fair8.0",M8,F8,Market!$F$11,Pricing!$B$8)</f>
        <v>0</v>
      </c>
    </row>
    <row r="9" spans="1:17">
      <c r="A9" t="s">
        <v>97</v>
      </c>
      <c r="B9" s="7">
        <f>'Loan Inputs'!B6</f>
        <v>0</v>
      </c>
      <c r="C9" s="3" t="s">
        <v>96</v>
      </c>
      <c r="D9" s="3" t="s">
        <v>86</v>
      </c>
      <c r="E9" s="9" t="s">
        <v>101</v>
      </c>
      <c r="F9" cm="1">
        <f t="array" ref="F9">_xll.QS.TRADE.CREATE("Loans.Trade9",L9,Market!$B$3,"Receive")</f>
        <v>0</v>
      </c>
      <c r="G9" s="8" cm="1">
        <f t="array" ref="G9">_xll.QS.RESULT.VALUE(N9)</f>
        <v>0</v>
      </c>
      <c r="H9" s="8">
        <f>G9-'Loan Inputs'!$B$4</f>
        <v>0</v>
      </c>
      <c r="I9" s="7" cm="1">
        <f t="array" ref="I9">_xll.QS.RESULT.FAIR.RATE(O9)</f>
        <v>0</v>
      </c>
      <c r="J9" s="7" cm="1">
        <f t="array" ref="J9">_xll.QS.RESULT.FAIR.RATE(P9)</f>
        <v>0</v>
      </c>
      <c r="L9" cm="1">
        <f t="array" ref="L9">_xll.QS.INSTRUMENT.LOAN("Loans.Instrument9",'Loan Inputs'!$B$7,'Loan Inputs'!$B$8,'Loan Inputs'!$B$11,'Loan Inputs'!$B$4,B9,C9,D9,'Loan Inputs'!$B$9,'Loan Inputs'!$B$10,,'Coupon Schedules'!A4:C6)</f>
        <v>0</v>
      </c>
      <c r="M9">
        <f>Pricing!D4</f>
        <v>0</v>
      </c>
      <c r="N9" cm="1">
        <f t="array" ref="N9">_xll.QS.EVALUATE("Loans.Results9",M9,F9,Market!$F$11,Pricing!$A$8:$A$10)</f>
        <v>0</v>
      </c>
      <c r="O9" cm="1">
        <f t="array" ref="O9">_xll.QS.EVALUATE("Loans.Fair9.0",M9,F9,Market!$F$11,Pricing!$B$8)</f>
        <v>0</v>
      </c>
      <c r="P9" cm="1">
        <f t="array" ref="P9">_xll.QS.EVALUATE("Loans.Fair9.1",M9,F9,Market!$F$11,Pricing!$B$9)</f>
        <v>0</v>
      </c>
    </row>
    <row r="10" spans="1:17">
      <c r="A10" t="s">
        <v>102</v>
      </c>
      <c r="B10" s="7">
        <f>'Loan Inputs'!B6</f>
        <v>0</v>
      </c>
      <c r="C10" s="3" t="s">
        <v>96</v>
      </c>
      <c r="D10" s="3" t="s">
        <v>86</v>
      </c>
      <c r="E10" s="9" t="s">
        <v>93</v>
      </c>
      <c r="F10" cm="1">
        <f t="array" ref="F10">_xll.QS.TRADE.CREATE("Loans.Trade10",L10,Market!$B$3,"Receive")</f>
        <v>0</v>
      </c>
      <c r="G10" s="8" cm="1">
        <f t="array" ref="G10">_xll.QS.RESULT.VALUE(N10)</f>
        <v>0</v>
      </c>
      <c r="H10" s="8">
        <f>G10-'Loan Inputs'!$B$4</f>
        <v>0</v>
      </c>
      <c r="I10" s="7" t="s">
        <v>105</v>
      </c>
      <c r="L10" cm="1">
        <f t="array" ref="L10">_xll.QS.INSTRUMENT.LOAN("Loans.Instrument10",'Loan Inputs'!$B$7,'Loan Inputs'!$B$8,'Loan Inputs'!$B$11,'Loan Inputs'!$B$4,B10,C10,D10,'Loan Inputs'!$B$9,'Loan Inputs'!$B$10,'Loan Settings'!A14:B17,)</f>
        <v>0</v>
      </c>
      <c r="M10">
        <f>Pricing!D4</f>
        <v>0</v>
      </c>
      <c r="N10" cm="1">
        <f t="array" ref="N10">_xll.QS.EVALUATE("Loans.Results10",M10,F10,Market!$F$11,Pricing!$A$8:$A$10)</f>
        <v>0</v>
      </c>
    </row>
    <row r="11" spans="1:17">
      <c r="A11" t="s">
        <v>106</v>
      </c>
      <c r="B11" s="7">
        <f>'Loan Inputs'!B5</f>
        <v>0</v>
      </c>
      <c r="C11" s="3"/>
      <c r="D11" s="3" t="s">
        <v>86</v>
      </c>
      <c r="E11" s="9" t="s">
        <v>93</v>
      </c>
      <c r="F11" cm="1">
        <f t="array" ref="F11">_xll.QS.TRADE.CREATE("Loans.Trade11",L11,Market!$B$3,"Receive")</f>
        <v>0</v>
      </c>
      <c r="G11" s="8" cm="1">
        <f t="array" ref="G11">_xll.QS.RESULT.VALUE(N11)</f>
        <v>0</v>
      </c>
      <c r="H11" s="8">
        <f>G11-'Loan Inputs'!$B$4</f>
        <v>0</v>
      </c>
      <c r="I11" s="7" cm="1">
        <f t="array" ref="I11">_xll.QS.RESULT.FAIR.RATE(O11)</f>
        <v>0</v>
      </c>
      <c r="L11" cm="1">
        <f t="array" ref="L11">_xll.QS.INSTRUMENT.LOAN("Loans.Instrument11",'Loan Inputs'!$B$7,'Loan Inputs'!$B$8,'Loan Inputs'!$B$11,'Loan Inputs'!$B$4,B11,C11,D11,'Loan Inputs'!$B$9,'Loan Inputs'!$B$10,'Loan Settings'!A21:B22,)</f>
        <v>0</v>
      </c>
      <c r="M11">
        <f>Pricing!D4</f>
        <v>0</v>
      </c>
      <c r="N11" cm="1">
        <f t="array" ref="N11">_xll.QS.EVALUATE("Loans.Results11",M11,F11,Market!$F$11,Pricing!$A$8:$A$10)</f>
        <v>0</v>
      </c>
      <c r="O11" cm="1">
        <f t="array" ref="O11">_xll.QS.EVALUATE("Loans.Fair11.0",M11,F11,Market!$F$11,Pricing!$B$8)</f>
        <v>0</v>
      </c>
    </row>
    <row r="12" spans="1:17">
      <c r="A12" t="s">
        <v>108</v>
      </c>
      <c r="B12" s="7">
        <f>'Loan Inputs'!B5</f>
        <v>0</v>
      </c>
      <c r="C12" s="3"/>
      <c r="D12" s="3" t="s">
        <v>86</v>
      </c>
      <c r="E12" s="9" t="s">
        <v>93</v>
      </c>
      <c r="F12" cm="1">
        <f t="array" ref="F12">_xll.QS.TRADE.CREATE("Loans.Trade12",L12,Market!$B$3,"Receive")</f>
        <v>0</v>
      </c>
      <c r="G12" s="8" cm="1">
        <f t="array" ref="G12">_xll.QS.RESULT.VALUE(N12)</f>
        <v>0</v>
      </c>
      <c r="H12" s="8">
        <f>G12-'Loan Inputs'!$B$4</f>
        <v>0</v>
      </c>
      <c r="I12" s="7" cm="1">
        <f t="array" ref="I12">_xll.QS.RESULT.FAIR.RATE(O12)</f>
        <v>0</v>
      </c>
      <c r="L12" cm="1">
        <f t="array" ref="L12">_xll.QS.INSTRUMENT.LOAN("Loans.Instrument12",'Loan Inputs'!$B$7,'Loan Inputs'!$B$8,'Loan Inputs'!$B$11,'Loan Inputs'!$B$4,B12,C12,D12,'Loan Inputs'!$B$9,'Loan Inputs'!$B$10,'Loan Settings'!A26:B28,)</f>
        <v>0</v>
      </c>
      <c r="M12">
        <f>Pricing!D4</f>
        <v>0</v>
      </c>
      <c r="N12" cm="1">
        <f t="array" ref="N12">_xll.QS.EVALUATE("Loans.Results12",M12,F12,Market!$F$11,Pricing!$A$8:$A$10)</f>
        <v>0</v>
      </c>
      <c r="O12" cm="1">
        <f t="array" ref="O12">_xll.QS.EVALUATE("Loans.Fair12.0",M12,F12,Market!$F$11,Pricing!$B$8)</f>
        <v>0</v>
      </c>
    </row>
    <row r="13" spans="1:17">
      <c r="A13" t="s">
        <v>109</v>
      </c>
      <c r="B13" s="7">
        <f>'Loan Inputs'!B5</f>
        <v>0</v>
      </c>
      <c r="C13" s="3"/>
      <c r="D13" s="3" t="s">
        <v>86</v>
      </c>
      <c r="E13" t="s">
        <v>87</v>
      </c>
      <c r="F13" cm="1">
        <f t="array" ref="F13">_xll.QS.TRADE.CREATE("Loans.Trade13",L13,Market!$B$3,"Receive")</f>
        <v>0</v>
      </c>
      <c r="G13" s="8" cm="1">
        <f t="array" ref="G13">_xll.QS.RESULT.VALUE(N13)</f>
        <v>0</v>
      </c>
      <c r="H13" s="8">
        <f>G13-'Loan Inputs'!$B$4</f>
        <v>0</v>
      </c>
      <c r="I13" s="7" cm="1">
        <f t="array" ref="I13">_xll.QS.RESULT.FAIR.RATE(O13)</f>
        <v>0</v>
      </c>
      <c r="L13" cm="1">
        <f t="array" ref="L13">_xll.QS.INSTRUMENT.LOAN("Loans.Instrument13",'Loan Inputs'!$B$7,'Loan Inputs'!$B$8,'Loan Inputs'!$B$11,'Loan Inputs'!$B$4,B13,C13,D13,'Loan Inputs'!$B$9,'Loan Inputs'!$B$10,,)</f>
        <v>0</v>
      </c>
      <c r="M13">
        <f>Pricing!D5</f>
        <v>0</v>
      </c>
      <c r="N13" cm="1">
        <f t="array" ref="N13">_xll.QS.EVALUATE("Loans.Results13",M13,F13,Market!$F$11,Pricing!$A$8:$A$10)</f>
        <v>0</v>
      </c>
      <c r="O13" cm="1">
        <f t="array" ref="O13">_xll.QS.EVALUATE("Loans.Fair13.0",M13,F13,Market!$F$11,Pricing!$B$8)</f>
        <v>0</v>
      </c>
    </row>
    <row r="14" spans="1:17">
      <c r="A14" t="s">
        <v>110</v>
      </c>
      <c r="B14" s="7">
        <f>'Loan Inputs'!B6</f>
        <v>0</v>
      </c>
      <c r="C14" s="3" t="s">
        <v>96</v>
      </c>
      <c r="D14" s="3" t="s">
        <v>86</v>
      </c>
      <c r="E14" s="9" t="s">
        <v>93</v>
      </c>
      <c r="F14" cm="1">
        <f t="array" ref="F14">_xll.QS.TRADE.CREATE("Loans.Trade14",L14,Market!$B$3,"Receive")</f>
        <v>0</v>
      </c>
      <c r="G14" s="8" cm="1">
        <f t="array" ref="G14">_xll.QS.RESULT.VALUE(N14)</f>
        <v>0</v>
      </c>
      <c r="H14" s="8">
        <f>G14-'Loan Inputs'!$B$4</f>
        <v>0</v>
      </c>
      <c r="I14" s="7" cm="1">
        <f t="array" ref="I14">_xll.QS.RESULT.FAIR.RATE(O14)</f>
        <v>0</v>
      </c>
      <c r="L14" cm="1">
        <f t="array" ref="L14">_xll.QS.INSTRUMENT.LOAN("Loans.Instrument14",'Loan Inputs'!$B$7,'Loan Inputs'!$B$8,'Loan Inputs'!$B$11,'Loan Inputs'!$B$4,B14,C14,D14,'Loan Inputs'!$B$9,'Loan Inputs'!$B$10,'Loan Settings'!A32:B33,)</f>
        <v>0</v>
      </c>
      <c r="M14">
        <f>Pricing!D5</f>
        <v>0</v>
      </c>
      <c r="N14" cm="1">
        <f t="array" ref="N14">_xll.QS.EVALUATE("Loans.Results14",M14,F14,Market!$F$11,Pricing!$A$8:$A$10)</f>
        <v>0</v>
      </c>
      <c r="O14" cm="1">
        <f t="array" ref="O14">_xll.QS.EVALUATE("Loans.Fair14.0",M14,F14,Market!$F$11,Pricing!$B$8)</f>
        <v>0</v>
      </c>
    </row>
    <row r="15" spans="1:17">
      <c r="A15" t="s">
        <v>111</v>
      </c>
      <c r="B15" s="7">
        <v>0.03</v>
      </c>
      <c r="C15" s="3"/>
      <c r="D15" s="3" t="s">
        <v>86</v>
      </c>
      <c r="E15" s="9" t="s">
        <v>101</v>
      </c>
      <c r="F15" cm="1">
        <f t="array" ref="F15">_xll.QS.TRADE.CREATE("Loans.Trade15",L15,Market!$B$3,"Receive")</f>
        <v>0</v>
      </c>
      <c r="G15" s="8" cm="1">
        <f t="array" ref="G15">_xll.QS.RESULT.VALUE(N15)</f>
        <v>0</v>
      </c>
      <c r="H15" s="8">
        <f>G15-'Loan Inputs'!$B$4</f>
        <v>0</v>
      </c>
      <c r="I15" s="7" cm="1">
        <f t="array" ref="I15">_xll.QS.RESULT.FAIR.RATE(O15)</f>
        <v>0</v>
      </c>
      <c r="J15" s="7" cm="1">
        <f t="array" ref="J15">_xll.QS.RESULT.FAIR.RATE(P15)</f>
        <v>0</v>
      </c>
      <c r="K15" s="7" cm="1">
        <f t="array" ref="K15">_xll.QS.RESULT.FAIR.RATE(Q15)</f>
        <v>0</v>
      </c>
      <c r="L15" cm="1">
        <f t="array" ref="L15">_xll.QS.INSTRUMENT.LOAN("Loans.Instrument15",'Loan Inputs'!$B$7,'Loan Inputs'!$B$8,'Loan Inputs'!$B$11,'Loan Inputs'!$B$4,B15,C15,D15,'Loan Inputs'!$B$9,'Loan Inputs'!$B$10,,'Coupon Schedules'!A10:C13)</f>
        <v>0</v>
      </c>
      <c r="M15">
        <f>Pricing!D4</f>
        <v>0</v>
      </c>
      <c r="N15" cm="1">
        <f t="array" ref="N15">_xll.QS.EVALUATE("Loans.Results15",M15,F15,Market!$F$11,Pricing!$A$8:$A$10)</f>
        <v>0</v>
      </c>
      <c r="O15" cm="1">
        <f t="array" ref="O15">_xll.QS.EVALUATE("Loans.Fair15.0",M15,F15,Market!$F$11,Pricing!$B$8)</f>
        <v>0</v>
      </c>
      <c r="P15" cm="1">
        <f t="array" ref="P15">_xll.QS.EVALUATE("Loans.Fair15.1",M15,F15,Market!$F$11,Pricing!$B$9)</f>
        <v>0</v>
      </c>
      <c r="Q15" cm="1">
        <f t="array" ref="Q15">_xll.QS.EVALUATE("Loans.Fair15.2",M15,F15,Market!$F$11,Pricing!$B$10)</f>
        <v>0</v>
      </c>
    </row>
    <row r="16" spans="1:17">
      <c r="A16" t="s">
        <v>112</v>
      </c>
      <c r="B16" s="7">
        <v>0.03</v>
      </c>
      <c r="C16" s="3"/>
      <c r="D16" s="3" t="s">
        <v>86</v>
      </c>
      <c r="E16" s="9" t="s">
        <v>101</v>
      </c>
      <c r="F16" cm="1">
        <f t="array" ref="F16">_xll.QS.TRADE.CREATE("Loans.Trade16",L16,Market!$B$3,"Receive")</f>
        <v>0</v>
      </c>
      <c r="G16" s="8" cm="1">
        <f t="array" ref="G16">_xll.QS.RESULT.VALUE(N16)</f>
        <v>0</v>
      </c>
      <c r="H16" s="8">
        <f>G16-'Loan Inputs'!$B$4</f>
        <v>0</v>
      </c>
      <c r="I16" s="7" cm="1">
        <f t="array" ref="I16">_xll.QS.RESULT.FAIR.RATE(O16)</f>
        <v>0</v>
      </c>
      <c r="J16" s="7" cm="1">
        <f t="array" ref="J16">_xll.QS.RESULT.FAIR.RATE(P16)</f>
        <v>0</v>
      </c>
      <c r="K16" s="7" cm="1">
        <f t="array" ref="K16">_xll.QS.RESULT.FAIR.RATE(Q16)</f>
        <v>0</v>
      </c>
      <c r="L16" cm="1">
        <f t="array" ref="L16">_xll.QS.INSTRUMENT.LOAN("Loans.Instrument16",'Loan Inputs'!$B$7,'Loan Inputs'!$B$8,'Loan Inputs'!$B$11,'Loan Inputs'!$B$4,B16,C16,D16,'Loan Inputs'!$B$9,'Loan Inputs'!$B$10,,'Coupon Schedules'!A17:C20)</f>
        <v>0</v>
      </c>
      <c r="M16">
        <f>Pricing!D4</f>
        <v>0</v>
      </c>
      <c r="N16" cm="1">
        <f t="array" ref="N16">_xll.QS.EVALUATE("Loans.Results16",M16,F16,Market!$F$11,Pricing!$A$8:$A$10)</f>
        <v>0</v>
      </c>
      <c r="O16" cm="1">
        <f t="array" ref="O16">_xll.QS.EVALUATE("Loans.Fair16.0",M16,F16,Market!$F$11,Pricing!$B$8)</f>
        <v>0</v>
      </c>
      <c r="P16" cm="1">
        <f t="array" ref="P16">_xll.QS.EVALUATE("Loans.Fair16.1",M16,F16,Market!$F$11,Pricing!$B$9)</f>
        <v>0</v>
      </c>
      <c r="Q16" cm="1">
        <f t="array" ref="Q16">_xll.QS.EVALUATE("Loans.Fair16.2",M16,F16,Market!$F$11,Pricing!$B$10)</f>
        <v>0</v>
      </c>
    </row>
  </sheetData>
  <hyperlinks>
    <hyperlink ref="E7" location="'Loan Settings'!A4" display="Edit settings"/>
    <hyperlink ref="E8" location="'Loan Settings'!A9" display="Edit settings"/>
    <hyperlink ref="E9" location="'Coupon Schedules'!A4" display="Edit coupon schedule"/>
    <hyperlink ref="E10" location="'Loan Settings'!A14" display="Edit settings"/>
    <hyperlink ref="E11" location="'Loan Settings'!A21" display="Edit settings"/>
    <hyperlink ref="E12" location="'Loan Settings'!A26" display="Edit settings"/>
    <hyperlink ref="E14" location="'Loan Settings'!A32" display="Edit settings"/>
    <hyperlink ref="E15" location="'Coupon Schedules'!A10" display="Edit coupon schedule"/>
    <hyperlink ref="E16" location="'Coupon Schedules'!A17" display="Edit coupon schedul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2:L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11">
      <c r="A2" s="6" t="s">
        <v>113</v>
      </c>
      <c r="K2" s="6" t="s">
        <v>114</v>
      </c>
    </row>
    <row r="4" spans="1:11">
      <c r="A4" s="1" cm="1">
        <f t="array" ref="A4">_xll.QS.RESULT.CASHFLOWS(Comparison!N5)</f>
        <v>0</v>
      </c>
      <c r="K4" s="1" cm="1">
        <f t="array" ref="K4">_xll.QS.RESULT.CASHFLOWS(Comparison!N11)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2:L2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5">
      <c r="A2" s="6" t="s">
        <v>115</v>
      </c>
      <c r="E2" s="6" t="s">
        <v>116</v>
      </c>
    </row>
    <row r="4" spans="1:5">
      <c r="A4" s="1" cm="1">
        <f t="array" ref="A4">_xll.QS.RESULT.SENSITIVITIES(Comparison!N13)</f>
        <v>0</v>
      </c>
      <c r="E4" s="1" cm="1">
        <f t="array" ref="E4">_xll.QS.RESULT.SENSITIVITIES(Comparison!N14)</f>
        <v>0</v>
      </c>
    </row>
    <row r="25" spans="1:1">
      <c r="A25" s="1" t="s">
        <v>117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L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1">
      <c r="A2" s="6" t="s">
        <v>118</v>
      </c>
    </row>
    <row r="4" spans="1:1">
      <c r="A4" s="1" cm="1">
        <f t="array" ref="A4">_xll.QS.RESULT.SENSITIVITIES(Comparison!N13,TRUE,FALSE)</f>
        <v>0</v>
      </c>
    </row>
    <row r="9" spans="1:1">
      <c r="A9" s="6" t="s">
        <v>119</v>
      </c>
    </row>
    <row r="11" spans="1:1">
      <c r="A11" s="1" cm="1">
        <f t="array" ref="A11">_xll.QS.RESULT.SENSITIVITIES(Comparison!N13,TRUE,TRUE)</f>
        <v>0</v>
      </c>
    </row>
    <row r="16" spans="1:1">
      <c r="A16" s="6" t="s">
        <v>120</v>
      </c>
    </row>
    <row r="18" spans="1:1">
      <c r="A18" s="1" cm="1">
        <f t="array" ref="A18">_xll.QS.SCHEDULE("2026-02-24","2027-02-24","Monthly",TRUE)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Market</vt:lpstr>
      <vt:lpstr>Loan Inputs</vt:lpstr>
      <vt:lpstr>Loan Settings</vt:lpstr>
      <vt:lpstr>Coupon Schedules</vt:lpstr>
      <vt:lpstr>Pricing</vt:lpstr>
      <vt:lpstr>Comparison</vt:lpstr>
      <vt:lpstr>Cashflows</vt:lpstr>
      <vt:lpstr>Risk</vt:lpstr>
      <vt:lpstr>Layouts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