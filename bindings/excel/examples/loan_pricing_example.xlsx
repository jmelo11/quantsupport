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1 Inputs" sheetId="2" r:id="rId2"/>
    <sheet name="2 Cases" sheetId="3" r:id="rId3"/>
    <sheet name="3 Market" sheetId="4" r:id="rId4"/>
    <sheet name="4 Build" sheetId="5" r:id="rId5"/>
    <sheet name="5 Results" sheetId="6" r:id="rId6"/>
    <sheet name="6 Cashflows" sheetId="7" r:id="rId7"/>
    <sheet name="7 Risk" sheetId="8" r:id="rId8"/>
    <sheet name="8 Layouts" sheetId="9" r:id="rId9"/>
  </sheets>
  <definedNames>
    <definedName name="Loan_BaseCurves">'3 Market'!$B$59</definedName>
    <definedName name="Loan_C01_Discount">'2 Cases'!$B$9</definedName>
    <definedName name="Loan_C01_Fair0">'4 Build'!$B$49</definedName>
    <definedName name="Loan_C01_FairRate0">'5 Results'!$D$7</definedName>
    <definedName name="Loan_C01_Index">'2 Cases'!$D$8</definedName>
    <definedName name="Loan_C01_Instrument">'4 Build'!$B$37</definedName>
    <definedName name="Loan_C01_Net">'5 Results'!$C$7</definedName>
    <definedName name="Loan_C01_Pricer">'4 Build'!$B$43</definedName>
    <definedName name="Loan_C01_PV">'5 Results'!$B$7</definedName>
    <definedName name="Loan_C01_Rate">'2 Cases'!$B$8</definedName>
    <definedName name="Loan_C01_Repayment">'2 Cases'!$F$8</definedName>
    <definedName name="Loan_C01_Result">'4 Build'!$B$46</definedName>
    <definedName name="Loan_C01_Trade">'4 Build'!$B$40</definedName>
    <definedName name="Loan_C02_Discount">'2 Cases'!$B$19</definedName>
    <definedName name="Loan_C02_Fair0">'4 Build'!$B$69</definedName>
    <definedName name="Loan_C02_FairRate0">'5 Results'!$D$8</definedName>
    <definedName name="Loan_C02_Index">'2 Cases'!$D$18</definedName>
    <definedName name="Loan_C02_Instrument">'4 Build'!$B$57</definedName>
    <definedName name="Loan_C02_Net">'5 Results'!$C$8</definedName>
    <definedName name="Loan_C02_Pricer">'4 Build'!$B$63</definedName>
    <definedName name="Loan_C02_PV">'5 Results'!$B$8</definedName>
    <definedName name="Loan_C02_Rate">'2 Cases'!$B$18</definedName>
    <definedName name="Loan_C02_Repayment">'2 Cases'!$F$18</definedName>
    <definedName name="Loan_C02_Result">'4 Build'!$B$66</definedName>
    <definedName name="Loan_C02_Trade">'4 Build'!$B$60</definedName>
    <definedName name="Loan_C03_Discount">'2 Cases'!$B$29</definedName>
    <definedName name="Loan_C03_Fair0">'4 Build'!$B$92</definedName>
    <definedName name="Loan_C03_FairRate0">'5 Results'!$D$9</definedName>
    <definedName name="Loan_C03_Index">'2 Cases'!$D$28</definedName>
    <definedName name="Loan_C03_Instrument">'4 Build'!$B$80</definedName>
    <definedName name="Loan_C03_Net">'5 Results'!$C$9</definedName>
    <definedName name="Loan_C03_Options">'4 Build'!$B$77</definedName>
    <definedName name="Loan_C03_Pricer">'4 Build'!$B$86</definedName>
    <definedName name="Loan_C03_PV">'5 Results'!$B$9</definedName>
    <definedName name="Loan_C03_Rate">'2 Cases'!$B$28</definedName>
    <definedName name="Loan_C03_Repayment">'2 Cases'!$F$28</definedName>
    <definedName name="Loan_C03_Result">'4 Build'!$B$89</definedName>
    <definedName name="Loan_C03_Settings">'2 Cases'!$A$31:$B$32</definedName>
    <definedName name="Loan_C03_Trade">'4 Build'!$B$83</definedName>
    <definedName name="Loan_C04_Discount">'2 Cases'!$B$39</definedName>
    <definedName name="Loan_C04_Fair0">'4 Build'!$B$115</definedName>
    <definedName name="Loan_C04_FairRate0">'5 Results'!$D$10</definedName>
    <definedName name="Loan_C04_Index">'2 Cases'!$D$38</definedName>
    <definedName name="Loan_C04_Instrument">'4 Build'!$B$103</definedName>
    <definedName name="Loan_C04_Net">'5 Results'!$C$10</definedName>
    <definedName name="Loan_C04_Options">'4 Build'!$B$100</definedName>
    <definedName name="Loan_C04_Pricer">'4 Build'!$B$109</definedName>
    <definedName name="Loan_C04_PV">'5 Results'!$B$10</definedName>
    <definedName name="Loan_C04_Rate">'2 Cases'!$B$38</definedName>
    <definedName name="Loan_C04_Repayment">'2 Cases'!$F$38</definedName>
    <definedName name="Loan_C04_Result">'4 Build'!$B$112</definedName>
    <definedName name="Loan_C04_Settings">'2 Cases'!$A$41:$B$42</definedName>
    <definedName name="Loan_C04_Trade">'4 Build'!$B$106</definedName>
    <definedName name="Loan_C05_Coupons">'2 Cases'!$D$51:$F$53</definedName>
    <definedName name="Loan_C05_Discount">'2 Cases'!$B$49</definedName>
    <definedName name="Loan_C05_Fair0">'4 Build'!$B$135</definedName>
    <definedName name="Loan_C05_Fair1">'4 Build'!$B$138</definedName>
    <definedName name="Loan_C05_FairRate0">'5 Results'!$D$11</definedName>
    <definedName name="Loan_C05_FairRate1">'5 Results'!$E$11</definedName>
    <definedName name="Loan_C05_Index">'2 Cases'!$D$48</definedName>
    <definedName name="Loan_C05_Instrument">'4 Build'!$B$123</definedName>
    <definedName name="Loan_C05_Net">'5 Results'!$C$11</definedName>
    <definedName name="Loan_C05_Pricer">'4 Build'!$B$129</definedName>
    <definedName name="Loan_C05_PV">'5 Results'!$B$11</definedName>
    <definedName name="Loan_C05_Rate">'2 Cases'!$B$48</definedName>
    <definedName name="Loan_C05_Repayment">'2 Cases'!$F$48</definedName>
    <definedName name="Loan_C05_Result">'4 Build'!$B$132</definedName>
    <definedName name="Loan_C05_Trade">'4 Build'!$B$126</definedName>
    <definedName name="Loan_C06_Discount">'2 Cases'!$B$63</definedName>
    <definedName name="Loan_C06_Index">'2 Cases'!$D$62</definedName>
    <definedName name="Loan_C06_Instrument">'4 Build'!$B$149</definedName>
    <definedName name="Loan_C06_Net">'5 Results'!$C$12</definedName>
    <definedName name="Loan_C06_Options">'4 Build'!$B$146</definedName>
    <definedName name="Loan_C06_Pricer">'4 Build'!$B$155</definedName>
    <definedName name="Loan_C06_PV">'5 Results'!$B$12</definedName>
    <definedName name="Loan_C06_Rate">'2 Cases'!$B$62</definedName>
    <definedName name="Loan_C06_Repayment">'2 Cases'!$F$62</definedName>
    <definedName name="Loan_C06_Result">'4 Build'!$B$158</definedName>
    <definedName name="Loan_C06_Settings">'2 Cases'!$A$65:$B$68</definedName>
    <definedName name="Loan_C06_Trade">'4 Build'!$B$152</definedName>
    <definedName name="Loan_C07_Discount">'2 Cases'!$B$75</definedName>
    <definedName name="Loan_C07_Fair0">'4 Build'!$B$181</definedName>
    <definedName name="Loan_C07_FairRate0">'5 Results'!$D$13</definedName>
    <definedName name="Loan_C07_Index">'2 Cases'!$D$74</definedName>
    <definedName name="Loan_C07_Instrument">'4 Build'!$B$169</definedName>
    <definedName name="Loan_C07_Net">'5 Results'!$C$13</definedName>
    <definedName name="Loan_C07_Options">'4 Build'!$B$166</definedName>
    <definedName name="Loan_C07_Pricer">'4 Build'!$B$175</definedName>
    <definedName name="Loan_C07_PV">'5 Results'!$B$13</definedName>
    <definedName name="Loan_C07_Rate">'2 Cases'!$B$74</definedName>
    <definedName name="Loan_C07_Repayment">'2 Cases'!$F$74</definedName>
    <definedName name="Loan_C07_Result">'4 Build'!$B$178</definedName>
    <definedName name="Loan_C07_Settings">'2 Cases'!$A$77:$B$78</definedName>
    <definedName name="Loan_C07_Trade">'4 Build'!$B$172</definedName>
    <definedName name="Loan_C08_Discount">'2 Cases'!$B$85</definedName>
    <definedName name="Loan_C08_Fair0">'4 Build'!$B$204</definedName>
    <definedName name="Loan_C08_FairRate0">'5 Results'!$D$14</definedName>
    <definedName name="Loan_C08_Index">'2 Cases'!$D$84</definedName>
    <definedName name="Loan_C08_Instrument">'4 Build'!$B$192</definedName>
    <definedName name="Loan_C08_Net">'5 Results'!$C$14</definedName>
    <definedName name="Loan_C08_Options">'4 Build'!$B$189</definedName>
    <definedName name="Loan_C08_Pricer">'4 Build'!$B$198</definedName>
    <definedName name="Loan_C08_PV">'5 Results'!$B$14</definedName>
    <definedName name="Loan_C08_Rate">'2 Cases'!$B$84</definedName>
    <definedName name="Loan_C08_Repayment">'2 Cases'!$F$84</definedName>
    <definedName name="Loan_C08_Result">'4 Build'!$B$201</definedName>
    <definedName name="Loan_C08_Settings">'2 Cases'!$A$87:$B$89</definedName>
    <definedName name="Loan_C08_Trade">'4 Build'!$B$195</definedName>
    <definedName name="Loan_C09_Discount">'2 Cases'!$B$96</definedName>
    <definedName name="Loan_C09_Fair0">'4 Build'!$B$224</definedName>
    <definedName name="Loan_C09_FairRate0">'5 Results'!$D$15</definedName>
    <definedName name="Loan_C09_Index">'2 Cases'!$D$95</definedName>
    <definedName name="Loan_C09_Instrument">'4 Build'!$B$212</definedName>
    <definedName name="Loan_C09_Net">'5 Results'!$C$15</definedName>
    <definedName name="Loan_C09_Pricer">'4 Build'!$B$218</definedName>
    <definedName name="Loan_C09_PV">'5 Results'!$B$15</definedName>
    <definedName name="Loan_C09_Rate">'2 Cases'!$B$95</definedName>
    <definedName name="Loan_C09_Repayment">'2 Cases'!$F$95</definedName>
    <definedName name="Loan_C09_Result">'4 Build'!$B$221</definedName>
    <definedName name="Loan_C09_Trade">'4 Build'!$B$215</definedName>
    <definedName name="Loan_C10_Discount">'2 Cases'!$B$106</definedName>
    <definedName name="Loan_C10_Fair0">'4 Build'!$B$247</definedName>
    <definedName name="Loan_C10_FairRate0">'5 Results'!$D$16</definedName>
    <definedName name="Loan_C10_Index">'2 Cases'!$D$105</definedName>
    <definedName name="Loan_C10_Instrument">'4 Build'!$B$235</definedName>
    <definedName name="Loan_C10_Net">'5 Results'!$C$16</definedName>
    <definedName name="Loan_C10_Options">'4 Build'!$B$232</definedName>
    <definedName name="Loan_C10_Pricer">'4 Build'!$B$241</definedName>
    <definedName name="Loan_C10_PV">'5 Results'!$B$16</definedName>
    <definedName name="Loan_C10_Rate">'2 Cases'!$B$105</definedName>
    <definedName name="Loan_C10_Repayment">'2 Cases'!$F$105</definedName>
    <definedName name="Loan_C10_Result">'4 Build'!$B$244</definedName>
    <definedName name="Loan_C10_Settings">'2 Cases'!$A$108:$B$109</definedName>
    <definedName name="Loan_C10_Trade">'4 Build'!$B$238</definedName>
    <definedName name="Loan_C11_Coupons">'2 Cases'!$D$118:$F$121</definedName>
    <definedName name="Loan_C11_Discount">'2 Cases'!$B$116</definedName>
    <definedName name="Loan_C11_Fair0">'4 Build'!$B$267</definedName>
    <definedName name="Loan_C11_Fair1">'4 Build'!$B$270</definedName>
    <definedName name="Loan_C11_Fair2">'4 Build'!$B$273</definedName>
    <definedName name="Loan_C11_FairRate0">'5 Results'!$D$17</definedName>
    <definedName name="Loan_C11_FairRate1">'5 Results'!$E$17</definedName>
    <definedName name="Loan_C11_FairRate2">'5 Results'!$F$17</definedName>
    <definedName name="Loan_C11_Index">'2 Cases'!$D$115</definedName>
    <definedName name="Loan_C11_Instrument">'4 Build'!$B$255</definedName>
    <definedName name="Loan_C11_Net">'5 Results'!$C$17</definedName>
    <definedName name="Loan_C11_Pricer">'4 Build'!$B$261</definedName>
    <definedName name="Loan_C11_PV">'5 Results'!$B$17</definedName>
    <definedName name="Loan_C11_Rate">'2 Cases'!$B$115</definedName>
    <definedName name="Loan_C11_Repayment">'2 Cases'!$F$115</definedName>
    <definedName name="Loan_C11_Result">'4 Build'!$B$264</definedName>
    <definedName name="Loan_C11_Trade">'4 Build'!$B$258</definedName>
    <definedName name="Loan_C12_Coupons">'2 Cases'!$D$132:$F$135</definedName>
    <definedName name="Loan_C12_Discount">'2 Cases'!$B$130</definedName>
    <definedName name="Loan_C12_Fair0">'4 Build'!$B$293</definedName>
    <definedName name="Loan_C12_Fair1">'4 Build'!$B$296</definedName>
    <definedName name="Loan_C12_Fair2">'4 Build'!$B$299</definedName>
    <definedName name="Loan_C12_FairRate0">'5 Results'!$D$18</definedName>
    <definedName name="Loan_C12_FairRate1">'5 Results'!$E$18</definedName>
    <definedName name="Loan_C12_FairRate2">'5 Results'!$F$18</definedName>
    <definedName name="Loan_C12_Index">'2 Cases'!$D$129</definedName>
    <definedName name="Loan_C12_Instrument">'4 Build'!$B$281</definedName>
    <definedName name="Loan_C12_Net">'5 Results'!$C$18</definedName>
    <definedName name="Loan_C12_Pricer">'4 Build'!$B$287</definedName>
    <definedName name="Loan_C12_PV">'5 Results'!$B$18</definedName>
    <definedName name="Loan_C12_Rate">'2 Cases'!$B$129</definedName>
    <definedName name="Loan_C12_Repayment">'2 Cases'!$F$129</definedName>
    <definedName name="Loan_C12_Result">'4 Build'!$B$290</definedName>
    <definedName name="Loan_C12_Trade">'4 Build'!$B$284</definedName>
    <definedName name="Loan_CaseNames">'5 Results'!$A$7:$A$18</definedName>
    <definedName name="Loan_Context">'4 Build'!$B$7</definedName>
    <definedName name="Loan_Credit">'3 Market'!$B$74</definedName>
    <definedName name="Loan_CreditQuote1">'3 Market'!$B$35</definedName>
    <definedName name="Loan_CreditQuote2">'3 Market'!$B$38</definedName>
    <definedName name="Loan_CreditQuote3">'3 Market'!$B$41</definedName>
    <definedName name="Loan_CreditQuote4">'3 Market'!$B$44</definedName>
    <definedName name="Loan_CreditQuote5">'3 Market'!$B$47</definedName>
    <definedName name="Loan_CreditQuote6">'3 Market'!$B$50</definedName>
    <definedName name="Loan_CreditQuote7">'3 Market'!$B$53</definedName>
    <definedName name="Loan_CreditQuotes">'3 Market'!$A$18:$A$24</definedName>
    <definedName name="Loan_Currency">'1 Inputs'!$B$15</definedName>
    <definedName name="Loan_Curves">'3 Market'!$B$68</definedName>
    <definedName name="Loan_DayCounter">'1 Inputs'!$B$14</definedName>
    <definedName name="Loan_EstrCurve">'4 Build'!$B$22</definedName>
    <definedName name="Loan_FixedRate">'1 Inputs'!$B$9</definedName>
    <definedName name="Loan_FloatingSpread">'1 Inputs'!$B$10</definedName>
    <definedName name="Loan_ForwardCurves">'3 Market'!$B$62</definedName>
    <definedName name="Loan_ForwardRates">'3 Market'!$C$7:$C$11</definedName>
    <definedName name="Loan_Frequency">'1 Inputs'!$B$13</definedName>
    <definedName name="Loan_FundingCurrency">'1 Inputs'!$A$29</definedName>
    <definedName name="Loan_FundingIndex">'1 Inputs'!$B$29</definedName>
    <definedName name="Loan_FundingMapping">'1 Inputs'!$A$29:$B$29</definedName>
    <definedName name="Loan_FundingPolicy">'4 Build'!$B$16</definedName>
    <definedName name="Loan_FundingPricer">'4 Build'!$B$19</definedName>
    <definedName name="Loan_FundingSpreads">'3 Market'!$D$7:$D$11</definedName>
    <definedName name="Loan_InitialCredit">'3 Market'!$B$71</definedName>
    <definedName name="Loan_InitialCurves">'3 Market'!$B$56</definedName>
    <definedName name="Loan_InitialQuotes">'3 Market'!$B$32</definedName>
    <definedName name="Loan_Maturity">'1 Inputs'!$B$12</definedName>
    <definedName name="Loan_Notional">'1 Inputs'!$B$8</definedName>
    <definedName name="Loan_Pillars">'3 Market'!$A$7:$A$11</definedName>
    <definedName name="Loan_Quotes">Loan_CreditQuote7</definedName>
    <definedName name="Loan_Recovery">'3 Market'!$B$27</definedName>
    <definedName name="Loan_Request0">'4 Build'!$B$25</definedName>
    <definedName name="Loan_Request1">'4 Build'!$B$28</definedName>
    <definedName name="Loan_Request2">'4 Build'!$B$31</definedName>
    <definedName name="Loan_Requests">'1 Inputs'!$A$21:$A$23</definedName>
    <definedName name="Loan_ResultHandles">'4 Build'!$B$305:$B$316</definedName>
    <definedName name="Loan_RiskFreeCurrency">'1 Inputs'!$A$28</definedName>
    <definedName name="Loan_RiskFreeIndex">'1 Inputs'!$B$28</definedName>
    <definedName name="Loan_RiskFreeMapping">'1 Inputs'!$A$28:$B$28</definedName>
    <definedName name="Loan_RiskFreePolicy">'4 Build'!$B$10</definedName>
    <definedName name="Loan_RiskFreePricer">'4 Build'!$B$13</definedName>
    <definedName name="Loan_SelectedCase">'5 Results'!$B$22</definedName>
    <definedName name="Loan_SelectedResult">'4 Build'!$B$319</definedName>
    <definedName name="Loan_Side">'1 Inputs'!$B$16</definedName>
    <definedName name="Loan_SpreadCurves">'3 Market'!$B$65</definedName>
    <definedName name="Loan_Start">'1 Inputs'!$B$11</definedName>
    <definedName name="Loan_ValuationDate">'1 Inputs'!$B$7</definedName>
    <definedName name="Loan_ZeroRates">'3 Market'!$B$7:$B$11</definedName>
    <definedName name="_xlnm.Print_Area" localSheetId="0">'Start Here'!$A$1:$F$31</definedName>
    <definedName name="_xlnm.Print_Titles" localSheetId="1">'1 Inputs'!$1:$6</definedName>
    <definedName name="_xlnm.Print_Titles" localSheetId="2">'2 Cases'!$1:$6</definedName>
    <definedName name="_xlnm.Print_Titles" localSheetId="3">'3 Market'!$1:$6</definedName>
    <definedName name="_xlnm.Print_Titles" localSheetId="4">'4 Build'!$1:$6</definedName>
    <definedName name="_xlnm.Print_Titles" localSheetId="5">'5 Results'!$1:$6</definedName>
    <definedName name="_xlnm.Print_Titles" localSheetId="6">'6 Cashflows'!$1:$7</definedName>
    <definedName name="_xlnm.Print_Titles" localSheetId="7">'7 Risk'!$1:$7</definedName>
    <definedName name="_xlnm.Print_Titles" localSheetId="8">'8 Layouts'!$1:$6</definedName>
  </definedNames>
  <calcPr calcId="124519" fullCalcOnLoad="1"/>
</workbook>
</file>

<file path=xl/comments1.xml><?xml version="1.0" encoding="utf-8"?>
<comments xmlns="http://schemas.openxmlformats.org/spreadsheetml/2006/main">
  <authors>
    <author/>
  </authors>
  <commentList>
    <comment ref="B7" authorId="0">
      <text>
        <r>
          <rPr>
            <sz val="8"/>
            <color indexed="81"/>
            <rFont val="Tahoma"/>
            <family val="2"/>
          </rPr>
          <t>Valuation at origination supports the fair-rate solves.</t>
        </r>
      </text>
    </comment>
    <comment ref="B8" authorId="0">
      <text>
        <r>
          <rPr>
            <sz val="8"/>
            <color indexed="81"/>
            <rFont val="Tahoma"/>
            <family val="2"/>
          </rPr>
          <t>Contractual principal; the trade does not override it.</t>
        </r>
      </text>
    </comment>
    <comment ref="B9" authorId="0">
      <text>
        <r>
          <rPr>
            <sz val="8"/>
            <color indexed="81"/>
            <rFont val="Tahoma"/>
            <family val="2"/>
          </rPr>
          <t>Used by the fixed-rate cases unless overridden.</t>
        </r>
      </text>
    </comment>
    <comment ref="B10" authorId="0">
      <text>
        <r>
          <rPr>
            <sz val="8"/>
            <color indexed="81"/>
            <rFont val="Tahoma"/>
            <family val="2"/>
          </rPr>
          <t>Spread over EURIBOR12m.</t>
        </r>
      </text>
    </comment>
    <comment ref="B11" authorId="0">
      <text>
        <r>
          <rPr>
            <sz val="8"/>
            <color indexed="81"/>
            <rFont val="Tahoma"/>
            <family val="2"/>
          </rPr>
          <t>Contractual origination date.</t>
        </r>
      </text>
    </comment>
    <comment ref="B12" authorId="0">
      <text>
        <r>
          <rPr>
            <sz val="8"/>
            <color indexed="81"/>
            <rFont val="Tahoma"/>
            <family val="2"/>
          </rPr>
          <t>Thirty-year teaching example.</t>
        </r>
      </text>
    </comment>
    <comment ref="B13" authorId="0">
      <text>
        <r>
          <rPr>
            <sz val="8"/>
            <color indexed="81"/>
            <rFont val="Tahoma"/>
            <family val="2"/>
          </rPr>
          <t>Case schedule counts refer to payment periods.</t>
        </r>
      </text>
    </comment>
    <comment ref="B14" authorId="0">
      <text>
        <r>
          <rPr>
            <sz val="8"/>
            <color indexed="81"/>
            <rFont val="Tahoma"/>
            <family val="2"/>
          </rPr>
          <t>Contractual accrual and amortization convention.</t>
        </r>
      </text>
    </comment>
    <comment ref="B15" authorId="0">
      <text>
        <r>
          <rPr>
            <sz val="8"/>
            <color indexed="81"/>
            <rFont val="Tahoma"/>
            <family val="2"/>
          </rPr>
          <t>These market assumptions are configured in EUR.</t>
        </r>
      </text>
    </comment>
    <comment ref="B16" authorId="0">
      <text>
        <r>
          <rPr>
            <sz val="8"/>
            <color indexed="81"/>
            <rFont val="Tahoma"/>
            <family val="2"/>
          </rPr>
          <t>Lender receipts are positive; Pay reverses the direction.</t>
        </r>
      </text>
    </comment>
  </commentList>
</comments>
</file>

<file path=xl/comments2.xml><?xml version="1.0" encoding="utf-8"?>
<comments xmlns="http://schemas.openxmlformats.org/spreadsheetml/2006/main">
  <authors>
    <author/>
  </authors>
  <commentList>
    <comment ref="B27" authorId="0">
      <text>
        <r>
          <rPr>
            <sz val="8"/>
            <color indexed="81"/>
            <rFont val="Tahoma"/>
            <family val="2"/>
          </rPr>
          <t>Fraction recovered on borrower default.</t>
        </r>
      </text>
    </comment>
    <comment ref="B32" authorId="0">
      <text>
        <r>
          <rPr>
            <sz val="8"/>
            <color indexed="81"/>
            <rFont val="Tahoma"/>
            <family val="2"/>
          </rPr>
          <t>Sets the valuation date for the market.</t>
        </r>
      </text>
    </comment>
    <comment ref="B35" authorId="0">
      <text>
        <r>
          <rPr>
            <sz val="8"/>
            <color indexed="81"/>
            <rFont val="Tahoma"/>
            <family val="2"/>
          </rPr>
          <t>Each update consumes the preceding store revision.</t>
        </r>
      </text>
    </comment>
    <comment ref="B38" authorId="0">
      <text>
        <r>
          <rPr>
            <sz val="8"/>
            <color indexed="81"/>
            <rFont val="Tahoma"/>
            <family val="2"/>
          </rPr>
          <t>Each update consumes the preceding store revision.</t>
        </r>
      </text>
    </comment>
    <comment ref="B41" authorId="0">
      <text>
        <r>
          <rPr>
            <sz val="8"/>
            <color indexed="81"/>
            <rFont val="Tahoma"/>
            <family val="2"/>
          </rPr>
          <t>Each update consumes the preceding store revision.</t>
        </r>
      </text>
    </comment>
    <comment ref="B44" authorId="0">
      <text>
        <r>
          <rPr>
            <sz val="8"/>
            <color indexed="81"/>
            <rFont val="Tahoma"/>
            <family val="2"/>
          </rPr>
          <t>Each update consumes the preceding store revision.</t>
        </r>
      </text>
    </comment>
    <comment ref="B47" authorId="0">
      <text>
        <r>
          <rPr>
            <sz val="8"/>
            <color indexed="81"/>
            <rFont val="Tahoma"/>
            <family val="2"/>
          </rPr>
          <t>Each update consumes the preceding store revision.</t>
        </r>
      </text>
    </comment>
    <comment ref="B50" authorId="0">
      <text>
        <r>
          <rPr>
            <sz val="8"/>
            <color indexed="81"/>
            <rFont val="Tahoma"/>
            <family val="2"/>
          </rPr>
          <t>Each update consumes the preceding store revision.</t>
        </r>
      </text>
    </comment>
    <comment ref="B53" authorId="0">
      <text>
        <r>
          <rPr>
            <sz val="8"/>
            <color indexed="81"/>
            <rFont val="Tahoma"/>
            <family val="2"/>
          </rPr>
          <t>Each update consumes the preceding store revision.</t>
        </r>
      </text>
    </comment>
    <comment ref="B56" authorId="0">
      <text>
        <r>
          <rPr>
            <sz val="8"/>
            <color indexed="81"/>
            <rFont val="Tahoma"/>
            <family val="2"/>
          </rPr>
          <t>Curve construction choices are separate from contract terms.</t>
        </r>
      </text>
    </comment>
    <comment ref="B59" authorId="0">
      <text>
        <r>
          <rPr>
            <sz val="8"/>
            <color indexed="81"/>
            <rFont val="Tahoma"/>
            <family val="2"/>
          </rPr>
          <t>The context builds this curve from the blue input range.</t>
        </r>
      </text>
    </comment>
    <comment ref="B62" authorId="0">
      <text>
        <r>
          <rPr>
            <sz val="8"/>
            <color indexed="81"/>
            <rFont val="Tahoma"/>
            <family val="2"/>
          </rPr>
          <t>EURIBOR12m projects floating coupon fixings.</t>
        </r>
      </text>
    </comment>
    <comment ref="B65" authorId="0">
      <text>
        <r>
          <rPr>
            <sz val="8"/>
            <color indexed="81"/>
            <rFont val="Tahoma"/>
            <family val="2"/>
          </rPr>
          <t>The spread is constructed with the same curve API.</t>
        </r>
      </text>
    </comment>
    <comment ref="B68" authorId="0">
      <text>
        <r>
          <rPr>
            <sz val="8"/>
            <color indexed="81"/>
            <rFont val="Tahoma"/>
            <family val="2"/>
          </rPr>
          <t>The discount policy chooses whether to use ESTR or FUNDING.</t>
        </r>
      </text>
    </comment>
    <comment ref="B71" authorId="0">
      <text>
        <r>
          <rPr>
            <sz val="8"/>
            <color indexed="81"/>
            <rFont val="Tahoma"/>
            <family val="2"/>
          </rPr>
          <t>Borrower survival is calibrated from the CDS quotes.</t>
        </r>
      </text>
    </comment>
    <comment ref="B74" authorId="0">
      <text>
        <r>
          <rPr>
            <sz val="8"/>
            <color indexed="81"/>
            <rFont val="Tahoma"/>
            <family val="2"/>
          </rPr>
          <t>Only the borrower-credit case attaches this credit index to its contract.</t>
        </r>
      </text>
    </comment>
  </commentList>
</comments>
</file>

<file path=xl/comments3.xml><?xml version="1.0" encoding="utf-8"?>
<comments xmlns="http://schemas.openxmlformats.org/spreadsheetml/2006/main">
  <authors>
    <author/>
  </authors>
  <commentList>
    <comment ref="B7" authorId="0">
      <text>
        <r>
          <rPr>
            <sz val="8"/>
            <color indexed="81"/>
            <rFont val="Tahoma"/>
            <family val="2"/>
          </rPr>
          <t>Constructs the projection, discount, funding and credit curves.</t>
        </r>
      </text>
    </comment>
    <comment ref="B10" authorId="0">
      <text>
        <r>
          <rPr>
            <sz val="8"/>
            <color indexed="81"/>
            <rFont val="Tahoma"/>
            <family val="2"/>
          </rPr>
          <t>Maps EUR to an ordinary market curve.</t>
        </r>
      </text>
    </comment>
    <comment ref="B13" authorId="0">
      <text>
        <r>
          <rPr>
            <sz val="8"/>
            <color indexed="81"/>
            <rFont val="Tahoma"/>
            <family val="2"/>
          </rPr>
          <t>Same native LoanPricer, with an explicit policy.</t>
        </r>
      </text>
    </comment>
    <comment ref="B16" authorId="0">
      <text>
        <r>
          <rPr>
            <sz val="8"/>
            <color indexed="81"/>
            <rFont val="Tahoma"/>
            <family val="2"/>
          </rPr>
          <t>Maps EUR to an ordinary market curve.</t>
        </r>
      </text>
    </comment>
    <comment ref="B19" authorId="0">
      <text>
        <r>
          <rPr>
            <sz val="8"/>
            <color indexed="81"/>
            <rFont val="Tahoma"/>
            <family val="2"/>
          </rPr>
          <t>Same native LoanPricer, with an explicit policy.</t>
        </r>
      </text>
    </comment>
    <comment ref="B22" authorId="0">
      <text>
        <r>
          <rPr>
            <sz val="8"/>
            <color indexed="81"/>
            <rFont val="Tahoma"/>
            <family val="2"/>
          </rPr>
          <t>A small five-node table for the layout lesson.</t>
        </r>
      </text>
    </comment>
    <comment ref="B25" authorId="0">
      <text>
        <r>
          <rPr>
            <sz val="8"/>
            <color indexed="81"/>
            <rFont val="Tahoma"/>
            <family val="2"/>
          </rPr>
          <t>Returns one requested segment's scalar; earlier segments are bootstrapped first.</t>
        </r>
      </text>
    </comment>
    <comment ref="B28" authorId="0">
      <text>
        <r>
          <rPr>
            <sz val="8"/>
            <color indexed="81"/>
            <rFont val="Tahoma"/>
            <family val="2"/>
          </rPr>
          <t>Returns one requested segment's scalar; earlier segments are bootstrapped first.</t>
        </r>
      </text>
    </comment>
    <comment ref="B31" authorId="0">
      <text>
        <r>
          <rPr>
            <sz val="8"/>
            <color indexed="81"/>
            <rFont val="Tahoma"/>
            <family val="2"/>
          </rPr>
          <t>Returns one requested segment's scalar; earlier segments are bootstrapped first.</t>
        </r>
      </text>
    </comment>
    <comment ref="B37" authorId="0">
      <text>
        <r>
          <rPr>
            <sz val="8"/>
            <color indexed="81"/>
            <rFont val="Tahoma"/>
            <family val="2"/>
          </rPr>
          <t>Baseline monthly amortization.</t>
        </r>
      </text>
    </comment>
    <comment ref="B40" authorId="0">
      <text>
        <r>
          <rPr>
            <sz val="8"/>
            <color indexed="81"/>
            <rFont val="Tahoma"/>
            <family val="2"/>
          </rPr>
          <t>The contractual principal stays in the instrument.</t>
        </r>
      </text>
    </comment>
    <comment ref="B43" authorId="0">
      <text>
        <r>
          <rPr>
            <sz val="8"/>
            <color indexed="81"/>
            <rFont val="Tahoma"/>
            <family val="2"/>
          </rPr>
          <t>The case's discount choice selects an existing policy-configured pricer.</t>
        </r>
      </text>
    </comment>
    <comment ref="B46" authorId="0">
      <text>
        <r>
          <rPr>
            <sz val="8"/>
            <color indexed="81"/>
            <rFont val="Tahoma"/>
            <family val="2"/>
          </rPr>
          <t>Future receipt PV excludes the original principal advance.</t>
        </r>
      </text>
    </comment>
    <comment ref="B49" authorId="0">
      <text>
        <r>
          <rPr>
            <sz val="8"/>
            <color indexed="81"/>
            <rFont val="Tahoma"/>
            <family val="2"/>
          </rPr>
          <t>Repay remaining principal at each prefix end, lock earlier solved rates, then extend.</t>
        </r>
      </text>
    </comment>
    <comment ref="B57" authorId="0">
      <text>
        <r>
          <rPr>
            <sz val="8"/>
            <color indexed="81"/>
            <rFont val="Tahoma"/>
            <family val="2"/>
          </rPr>
          <t>Repay all principal at maturity.</t>
        </r>
      </text>
    </comment>
    <comment ref="B60" authorId="0">
      <text>
        <r>
          <rPr>
            <sz val="8"/>
            <color indexed="81"/>
            <rFont val="Tahoma"/>
            <family val="2"/>
          </rPr>
          <t>The contractual principal stays in the instrument.</t>
        </r>
      </text>
    </comment>
    <comment ref="B63" authorId="0">
      <text>
        <r>
          <rPr>
            <sz val="8"/>
            <color indexed="81"/>
            <rFont val="Tahoma"/>
            <family val="2"/>
          </rPr>
          <t>The case's discount choice selects an existing policy-configured pricer.</t>
        </r>
      </text>
    </comment>
    <comment ref="B66" authorId="0">
      <text>
        <r>
          <rPr>
            <sz val="8"/>
            <color indexed="81"/>
            <rFont val="Tahoma"/>
            <family val="2"/>
          </rPr>
          <t>Future receipt PV excludes the original principal advance.</t>
        </r>
      </text>
    </comment>
    <comment ref="B69" authorId="0">
      <text>
        <r>
          <rPr>
            <sz val="8"/>
            <color indexed="81"/>
            <rFont val="Tahoma"/>
            <family val="2"/>
          </rPr>
          <t>Repay remaining principal at each prefix end, lock earlier solved rates, then extend.</t>
        </r>
      </text>
    </comment>
    <comment ref="B77" authorId="0">
      <text>
        <r>
          <rPr>
            <sz val="8"/>
            <color indexed="81"/>
            <rFont val="Tahoma"/>
            <family val="2"/>
          </rPr>
          <t>Each optional parameter is visible in IntelliSense; its value refers to the case input cell.</t>
        </r>
      </text>
    </comment>
    <comment ref="B80" authorId="0">
      <text>
        <r>
          <rPr>
            <sz val="8"/>
            <color indexed="81"/>
            <rFont val="Tahoma"/>
            <family val="2"/>
          </rPr>
          <t>Reserve one quarter of principal for maturity.</t>
        </r>
      </text>
    </comment>
    <comment ref="B83" authorId="0">
      <text>
        <r>
          <rPr>
            <sz val="8"/>
            <color indexed="81"/>
            <rFont val="Tahoma"/>
            <family val="2"/>
          </rPr>
          <t>The contractual principal stays in the instrument.</t>
        </r>
      </text>
    </comment>
    <comment ref="B86" authorId="0">
      <text>
        <r>
          <rPr>
            <sz val="8"/>
            <color indexed="81"/>
            <rFont val="Tahoma"/>
            <family val="2"/>
          </rPr>
          <t>The case's discount choice selects an existing policy-configured pricer.</t>
        </r>
      </text>
    </comment>
    <comment ref="B89" authorId="0">
      <text>
        <r>
          <rPr>
            <sz val="8"/>
            <color indexed="81"/>
            <rFont val="Tahoma"/>
            <family val="2"/>
          </rPr>
          <t>Future receipt PV excludes the original principal advance.</t>
        </r>
      </text>
    </comment>
    <comment ref="B92" authorId="0">
      <text>
        <r>
          <rPr>
            <sz val="8"/>
            <color indexed="81"/>
            <rFont val="Tahoma"/>
            <family val="2"/>
          </rPr>
          <t>Repay remaining principal at each prefix end, lock earlier solved rates, then extend.</t>
        </r>
      </text>
    </comment>
    <comment ref="B100" authorId="0">
      <text>
        <r>
          <rPr>
            <sz val="8"/>
            <color indexed="81"/>
            <rFont val="Tahoma"/>
            <family val="2"/>
          </rPr>
          <t>Each optional parameter is visible in IntelliSense; its value refers to the case input cell.</t>
        </r>
      </text>
    </comment>
    <comment ref="B103" authorId="0">
      <text>
        <r>
          <rPr>
            <sz val="8"/>
            <color indexed="81"/>
            <rFont val="Tahoma"/>
            <family val="2"/>
          </rPr>
          <t>EURIBOR12m plus a spread; principal is agreed at 5%.</t>
        </r>
      </text>
    </comment>
    <comment ref="B106" authorId="0">
      <text>
        <r>
          <rPr>
            <sz val="8"/>
            <color indexed="81"/>
            <rFont val="Tahoma"/>
            <family val="2"/>
          </rPr>
          <t>The contractual principal stays in the instrument.</t>
        </r>
      </text>
    </comment>
    <comment ref="B109" authorId="0">
      <text>
        <r>
          <rPr>
            <sz val="8"/>
            <color indexed="81"/>
            <rFont val="Tahoma"/>
            <family val="2"/>
          </rPr>
          <t>The case's discount choice selects an existing policy-configured pricer.</t>
        </r>
      </text>
    </comment>
    <comment ref="B112" authorId="0">
      <text>
        <r>
          <rPr>
            <sz val="8"/>
            <color indexed="81"/>
            <rFont val="Tahoma"/>
            <family val="2"/>
          </rPr>
          <t>Future receipt PV excludes the original principal advance.</t>
        </r>
      </text>
    </comment>
    <comment ref="B115" authorId="0">
      <text>
        <r>
          <rPr>
            <sz val="8"/>
            <color indexed="81"/>
            <rFont val="Tahoma"/>
            <family val="2"/>
          </rPr>
          <t>Repay remaining principal at each prefix end, lock earlier solved rates, then extend.</t>
        </r>
      </text>
    </comment>
    <comment ref="B123" authorId="0">
      <text>
        <r>
          <rPr>
            <sz val="8"/>
            <color indexed="81"/>
            <rFont val="Tahoma"/>
            <family val="2"/>
          </rPr>
          <t>Fixed for 60 payments, then floating through maturity.</t>
        </r>
      </text>
    </comment>
    <comment ref="B126" authorId="0">
      <text>
        <r>
          <rPr>
            <sz val="8"/>
            <color indexed="81"/>
            <rFont val="Tahoma"/>
            <family val="2"/>
          </rPr>
          <t>The contractual principal stays in the instrument.</t>
        </r>
      </text>
    </comment>
    <comment ref="B129" authorId="0">
      <text>
        <r>
          <rPr>
            <sz val="8"/>
            <color indexed="81"/>
            <rFont val="Tahoma"/>
            <family val="2"/>
          </rPr>
          <t>The case's discount choice selects an existing policy-configured pricer.</t>
        </r>
      </text>
    </comment>
    <comment ref="B132" authorId="0">
      <text>
        <r>
          <rPr>
            <sz val="8"/>
            <color indexed="81"/>
            <rFont val="Tahoma"/>
            <family val="2"/>
          </rPr>
          <t>Future receipt PV excludes the original principal advance.</t>
        </r>
      </text>
    </comment>
    <comment ref="B135" authorId="0">
      <text>
        <r>
          <rPr>
            <sz val="8"/>
            <color indexed="81"/>
            <rFont val="Tahoma"/>
            <family val="2"/>
          </rPr>
          <t>Repay remaining principal at each prefix end, lock earlier solved rates, then extend.</t>
        </r>
      </text>
    </comment>
    <comment ref="B138" authorId="0">
      <text>
        <r>
          <rPr>
            <sz val="8"/>
            <color indexed="81"/>
            <rFont val="Tahoma"/>
            <family val="2"/>
          </rPr>
          <t>Repay remaining principal at each prefix end, lock earlier solved rates, then extend.</t>
        </r>
      </text>
    </comment>
    <comment ref="B146" authorId="0">
      <text>
        <r>
          <rPr>
            <sz val="8"/>
            <color indexed="81"/>
            <rFont val="Tahoma"/>
            <family val="2"/>
          </rPr>
          <t>Each optional parameter is visible in IntelliSense; its value refers to the case input cell.</t>
        </r>
      </text>
    </comment>
    <comment ref="B149" authorId="0">
      <text>
        <r>
          <rPr>
            <sz val="8"/>
            <color indexed="81"/>
            <rFont val="Tahoma"/>
            <family val="2"/>
          </rPr>
          <t>Bounded projected coupons; fair rate is not supported.</t>
        </r>
      </text>
    </comment>
    <comment ref="B152" authorId="0">
      <text>
        <r>
          <rPr>
            <sz val="8"/>
            <color indexed="81"/>
            <rFont val="Tahoma"/>
            <family val="2"/>
          </rPr>
          <t>The contractual principal stays in the instrument.</t>
        </r>
      </text>
    </comment>
    <comment ref="B155" authorId="0">
      <text>
        <r>
          <rPr>
            <sz val="8"/>
            <color indexed="81"/>
            <rFont val="Tahoma"/>
            <family val="2"/>
          </rPr>
          <t>The case's discount choice selects an existing policy-configured pricer.</t>
        </r>
      </text>
    </comment>
    <comment ref="B158" authorId="0">
      <text>
        <r>
          <rPr>
            <sz val="8"/>
            <color indexed="81"/>
            <rFont val="Tahoma"/>
            <family val="2"/>
          </rPr>
          <t>Future receipt PV excludes the original principal advance.</t>
        </r>
      </text>
    </comment>
    <comment ref="B166" authorId="0">
      <text>
        <r>
          <rPr>
            <sz val="8"/>
            <color indexed="81"/>
            <rFont val="Tahoma"/>
            <family val="2"/>
          </rPr>
          <t>Each optional parameter is visible in IntelliSense; its value refers to the case input cell.</t>
        </r>
      </text>
    </comment>
    <comment ref="B169" authorId="0">
      <text>
        <r>
          <rPr>
            <sz val="8"/>
            <color indexed="81"/>
            <rFont val="Tahoma"/>
            <family val="2"/>
          </rPr>
          <t>Conditional prepayment reduces future principal and interest.</t>
        </r>
      </text>
    </comment>
    <comment ref="B172" authorId="0">
      <text>
        <r>
          <rPr>
            <sz val="8"/>
            <color indexed="81"/>
            <rFont val="Tahoma"/>
            <family val="2"/>
          </rPr>
          <t>The contractual principal stays in the instrument.</t>
        </r>
      </text>
    </comment>
    <comment ref="B175" authorId="0">
      <text>
        <r>
          <rPr>
            <sz val="8"/>
            <color indexed="81"/>
            <rFont val="Tahoma"/>
            <family val="2"/>
          </rPr>
          <t>The case's discount choice selects an existing policy-configured pricer.</t>
        </r>
      </text>
    </comment>
    <comment ref="B178" authorId="0">
      <text>
        <r>
          <rPr>
            <sz val="8"/>
            <color indexed="81"/>
            <rFont val="Tahoma"/>
            <family val="2"/>
          </rPr>
          <t>Future receipt PV excludes the original principal advance.</t>
        </r>
      </text>
    </comment>
    <comment ref="B181" authorId="0">
      <text>
        <r>
          <rPr>
            <sz val="8"/>
            <color indexed="81"/>
            <rFont val="Tahoma"/>
            <family val="2"/>
          </rPr>
          <t>Repay remaining principal at each prefix end, lock earlier solved rates, then extend.</t>
        </r>
      </text>
    </comment>
    <comment ref="B189" authorId="0">
      <text>
        <r>
          <rPr>
            <sz val="8"/>
            <color indexed="81"/>
            <rFont val="Tahoma"/>
            <family val="2"/>
          </rPr>
          <t>Each optional parameter is visible in IntelliSense; its value refers to the case input cell.</t>
        </r>
      </text>
    </comment>
    <comment ref="B192" authorId="0">
      <text>
        <r>
          <rPr>
            <sz val="8"/>
            <color indexed="81"/>
            <rFont val="Tahoma"/>
            <family val="2"/>
          </rPr>
          <t>Survival and recovery use the illustrative CDS curve.</t>
        </r>
      </text>
    </comment>
    <comment ref="B195" authorId="0">
      <text>
        <r>
          <rPr>
            <sz val="8"/>
            <color indexed="81"/>
            <rFont val="Tahoma"/>
            <family val="2"/>
          </rPr>
          <t>The contractual principal stays in the instrument.</t>
        </r>
      </text>
    </comment>
    <comment ref="B198" authorId="0">
      <text>
        <r>
          <rPr>
            <sz val="8"/>
            <color indexed="81"/>
            <rFont val="Tahoma"/>
            <family val="2"/>
          </rPr>
          <t>The case's discount choice selects an existing policy-configured pricer.</t>
        </r>
      </text>
    </comment>
    <comment ref="B201" authorId="0">
      <text>
        <r>
          <rPr>
            <sz val="8"/>
            <color indexed="81"/>
            <rFont val="Tahoma"/>
            <family val="2"/>
          </rPr>
          <t>Future receipt PV excludes the original principal advance.</t>
        </r>
      </text>
    </comment>
    <comment ref="B204" authorId="0">
      <text>
        <r>
          <rPr>
            <sz val="8"/>
            <color indexed="81"/>
            <rFont val="Tahoma"/>
            <family val="2"/>
          </rPr>
          <t>Repay remaining principal at each prefix end, lock earlier solved rates, then extend.</t>
        </r>
      </text>
    </comment>
    <comment ref="B212" authorId="0">
      <text>
        <r>
          <rPr>
            <sz val="8"/>
            <color indexed="81"/>
            <rFont val="Tahoma"/>
            <family val="2"/>
          </rPr>
          <t>Same fixed contract; a different pricer policy selects funding.</t>
        </r>
      </text>
    </comment>
    <comment ref="B215" authorId="0">
      <text>
        <r>
          <rPr>
            <sz val="8"/>
            <color indexed="81"/>
            <rFont val="Tahoma"/>
            <family val="2"/>
          </rPr>
          <t>The contractual principal stays in the instrument.</t>
        </r>
      </text>
    </comment>
    <comment ref="B218" authorId="0">
      <text>
        <r>
          <rPr>
            <sz val="8"/>
            <color indexed="81"/>
            <rFont val="Tahoma"/>
            <family val="2"/>
          </rPr>
          <t>The case's discount choice selects an existing policy-configured pricer.</t>
        </r>
      </text>
    </comment>
    <comment ref="B221" authorId="0">
      <text>
        <r>
          <rPr>
            <sz val="8"/>
            <color indexed="81"/>
            <rFont val="Tahoma"/>
            <family val="2"/>
          </rPr>
          <t>Future receipt PV excludes the original principal advance.</t>
        </r>
      </text>
    </comment>
    <comment ref="B224" authorId="0">
      <text>
        <r>
          <rPr>
            <sz val="8"/>
            <color indexed="81"/>
            <rFont val="Tahoma"/>
            <family val="2"/>
          </rPr>
          <t>Repay remaining principal at each prefix end, lock earlier solved rates, then extend.</t>
        </r>
      </text>
    </comment>
    <comment ref="B232" authorId="0">
      <text>
        <r>
          <rPr>
            <sz val="8"/>
            <color indexed="81"/>
            <rFont val="Tahoma"/>
            <family val="2"/>
          </rPr>
          <t>Each optional parameter is visible in IntelliSense; its value refers to the case input cell.</t>
        </r>
      </text>
    </comment>
    <comment ref="B235" authorId="0">
      <text>
        <r>
          <rPr>
            <sz val="8"/>
            <color indexed="81"/>
            <rFont val="Tahoma"/>
            <family val="2"/>
          </rPr>
          <t>Same floating contract; discount using FUNDING.</t>
        </r>
      </text>
    </comment>
    <comment ref="B238" authorId="0">
      <text>
        <r>
          <rPr>
            <sz val="8"/>
            <color indexed="81"/>
            <rFont val="Tahoma"/>
            <family val="2"/>
          </rPr>
          <t>The contractual principal stays in the instrument.</t>
        </r>
      </text>
    </comment>
    <comment ref="B241" authorId="0">
      <text>
        <r>
          <rPr>
            <sz val="8"/>
            <color indexed="81"/>
            <rFont val="Tahoma"/>
            <family val="2"/>
          </rPr>
          <t>The case's discount choice selects an existing policy-configured pricer.</t>
        </r>
      </text>
    </comment>
    <comment ref="B244" authorId="0">
      <text>
        <r>
          <rPr>
            <sz val="8"/>
            <color indexed="81"/>
            <rFont val="Tahoma"/>
            <family val="2"/>
          </rPr>
          <t>Future receipt PV excludes the original principal advance.</t>
        </r>
      </text>
    </comment>
    <comment ref="B247" authorId="0">
      <text>
        <r>
          <rPr>
            <sz val="8"/>
            <color indexed="81"/>
            <rFont val="Tahoma"/>
            <family val="2"/>
          </rPr>
          <t>Repay remaining principal at each prefix end, lock earlier solved rates, then extend.</t>
        </r>
      </text>
    </comment>
    <comment ref="B255" authorId="0">
      <text>
        <r>
          <rPr>
            <sz val="8"/>
            <color indexed="81"/>
            <rFont val="Tahoma"/>
            <family val="2"/>
          </rPr>
          <t>Three consecutive fixed coupon segments.</t>
        </r>
      </text>
    </comment>
    <comment ref="B258" authorId="0">
      <text>
        <r>
          <rPr>
            <sz val="8"/>
            <color indexed="81"/>
            <rFont val="Tahoma"/>
            <family val="2"/>
          </rPr>
          <t>The contractual principal stays in the instrument.</t>
        </r>
      </text>
    </comment>
    <comment ref="B261" authorId="0">
      <text>
        <r>
          <rPr>
            <sz val="8"/>
            <color indexed="81"/>
            <rFont val="Tahoma"/>
            <family val="2"/>
          </rPr>
          <t>The case's discount choice selects an existing policy-configured pricer.</t>
        </r>
      </text>
    </comment>
    <comment ref="B264" authorId="0">
      <text>
        <r>
          <rPr>
            <sz val="8"/>
            <color indexed="81"/>
            <rFont val="Tahoma"/>
            <family val="2"/>
          </rPr>
          <t>Future receipt PV excludes the original principal advance.</t>
        </r>
      </text>
    </comment>
    <comment ref="B267" authorId="0">
      <text>
        <r>
          <rPr>
            <sz val="8"/>
            <color indexed="81"/>
            <rFont val="Tahoma"/>
            <family val="2"/>
          </rPr>
          <t>Repay remaining principal at each prefix end, lock earlier solved rates, then extend.</t>
        </r>
      </text>
    </comment>
    <comment ref="B270" authorId="0">
      <text>
        <r>
          <rPr>
            <sz val="8"/>
            <color indexed="81"/>
            <rFont val="Tahoma"/>
            <family val="2"/>
          </rPr>
          <t>Repay remaining principal at each prefix end, lock earlier solved rates, then extend.</t>
        </r>
      </text>
    </comment>
    <comment ref="B273" authorId="0">
      <text>
        <r>
          <rPr>
            <sz val="8"/>
            <color indexed="81"/>
            <rFont val="Tahoma"/>
            <family val="2"/>
          </rPr>
          <t>Repay remaining principal at each prefix end, lock earlier solved rates, then extend.</t>
        </r>
      </text>
    </comment>
    <comment ref="B281" authorId="0">
      <text>
        <r>
          <rPr>
            <sz val="8"/>
            <color indexed="81"/>
            <rFont val="Tahoma"/>
            <family val="2"/>
          </rPr>
          <t>Two fixed segments followed by a floating margin.</t>
        </r>
      </text>
    </comment>
    <comment ref="B284" authorId="0">
      <text>
        <r>
          <rPr>
            <sz val="8"/>
            <color indexed="81"/>
            <rFont val="Tahoma"/>
            <family val="2"/>
          </rPr>
          <t>The contractual principal stays in the instrument.</t>
        </r>
      </text>
    </comment>
    <comment ref="B287" authorId="0">
      <text>
        <r>
          <rPr>
            <sz val="8"/>
            <color indexed="81"/>
            <rFont val="Tahoma"/>
            <family val="2"/>
          </rPr>
          <t>The case's discount choice selects an existing policy-configured pricer.</t>
        </r>
      </text>
    </comment>
    <comment ref="B290" authorId="0">
      <text>
        <r>
          <rPr>
            <sz val="8"/>
            <color indexed="81"/>
            <rFont val="Tahoma"/>
            <family val="2"/>
          </rPr>
          <t>Future receipt PV excludes the original principal advance.</t>
        </r>
      </text>
    </comment>
    <comment ref="B293" authorId="0">
      <text>
        <r>
          <rPr>
            <sz val="8"/>
            <color indexed="81"/>
            <rFont val="Tahoma"/>
            <family val="2"/>
          </rPr>
          <t>Repay remaining principal at each prefix end, lock earlier solved rates, then extend.</t>
        </r>
      </text>
    </comment>
    <comment ref="B296" authorId="0">
      <text>
        <r>
          <rPr>
            <sz val="8"/>
            <color indexed="81"/>
            <rFont val="Tahoma"/>
            <family val="2"/>
          </rPr>
          <t>Repay remaining principal at each prefix end, lock earlier solved rates, then extend.</t>
        </r>
      </text>
    </comment>
    <comment ref="B299" authorId="0">
      <text>
        <r>
          <rPr>
            <sz val="8"/>
            <color indexed="81"/>
            <rFont val="Tahoma"/>
            <family val="2"/>
          </rPr>
          <t>Repay remaining principal at each prefix end, lock earlier solved rates, then extend.</t>
        </r>
      </text>
    </comment>
    <comment ref="B319" authorId="0">
      <text>
        <r>
          <rPr>
            <sz val="8"/>
            <color indexed="81"/>
            <rFont val="Tahoma"/>
            <family val="2"/>
          </rPr>
          <t>The dropdown on Results chooses an existing evaluation result.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<sst xmlns="http://schemas.openxmlformats.org/spreadsheetml/2006/main" count="589" uniqueCount="264">
  <si>
    <t>Loans · compare one change at a time</t>
  </si>
  <si>
    <t>Start with the French loan. Compare repayment, floating coupons, prepayment, credit and funding, then inspect stepped schedules.</t>
  </si>
  <si>
    <t>Before you start: load quantsupport.xll in 64-bit Windows Excel, then press Ctrl+Alt+F9. Results are blank until Excel calculates. Dates are ISO text; enter 4% as 0.04.</t>
  </si>
  <si>
    <t>Follow the numbered tabs from left to right</t>
  </si>
  <si>
    <t>1</t>
  </si>
  <si>
    <t>1 Inputs</t>
  </si>
  <si>
    <t>Review shared loan terms and position direction.</t>
  </si>
  <si>
    <t>2</t>
  </si>
  <si>
    <t>2 Cases</t>
  </si>
  <si>
    <t>Edit one case's coupon, settings or schedule in its own block.</t>
  </si>
  <si>
    <t>3</t>
  </si>
  <si>
    <t>3 Market</t>
  </si>
  <si>
    <t>Review ordinary projection, discount, funding and credit curves.</t>
  </si>
  <si>
    <t>4</t>
  </si>
  <si>
    <t>4 Build</t>
  </si>
  <si>
    <t>Follow the native construction and pricing steps.</t>
  </si>
  <si>
    <t>5</t>
  </si>
  <si>
    <t>5 Results</t>
  </si>
  <si>
    <t>Compare all cases; select one for the detail sheets.</t>
  </si>
  <si>
    <t>6</t>
  </si>
  <si>
    <t>6 Cashflows</t>
  </si>
  <si>
    <t>Inspect receipts for the selected case.</t>
  </si>
  <si>
    <t>7</t>
  </si>
  <si>
    <t>7 Risk</t>
  </si>
  <si>
    <t>Inspect risk for the same selected case.</t>
  </si>
  <si>
    <t>8</t>
  </si>
  <si>
    <t>8 Layouts</t>
  </si>
  <si>
    <t>Compare transpose and header options on a small curve table.</t>
  </si>
  <si>
    <t>Cell colours</t>
  </si>
  <si>
    <t>Blue · edit</t>
  </si>
  <si>
    <t>Assumptions and choices you can change.</t>
  </si>
  <si>
    <t>Green · read</t>
  </si>
  <si>
    <t>Financial results calculated by the add-in.</t>
  </si>
  <si>
    <t>Grey · build</t>
  </si>
  <si>
    <t>Object references on the Build tab. Each step shows its Excel formula below.</t>
  </si>
  <si>
    <t>Try this first</t>
  </si>
  <si>
    <t>1. Compare French, Bullet and 25% balloon on Results.</t>
  </si>
  <si>
    <t>2. Compare French with Funded fixed: only the discount policy changes.</t>
  </si>
  <si>
    <t>3. Choose Stepped then floating on Results; inspect its three fair-rate targets, Cashflows and Risk.</t>
  </si>
  <si>
    <t>Use Ctrl+A after a function name for parameter help. Inline hints use the optional Excel-DNA IntelliSense companion. The example assumptions are illustrative; tables and results use the native Rust pricers.</t>
  </si>
  <si>
    <t>Contract and position inputs</t>
  </si>
  <si>
    <t>Shared inputs apply to all cases. Blue cells are editable; each case's specific terms are on the next tab.</t>
  </si>
  <si>
    <t>← Start Here</t>
  </si>
  <si>
    <t>Next → 2 Cases</t>
  </si>
  <si>
    <t>Parameter</t>
  </si>
  <si>
    <t>Value</t>
  </si>
  <si>
    <t>Meaning</t>
  </si>
  <si>
    <t>Valuation date</t>
  </si>
  <si>
    <t>2026-02-24</t>
  </si>
  <si>
    <t>Valuation at origination supports the fair-rate solves.</t>
  </si>
  <si>
    <t>Principal (EUR)</t>
  </si>
  <si>
    <t>Contractual principal; the trade does not override it.</t>
  </si>
  <si>
    <t>Default fixed coupon</t>
  </si>
  <si>
    <t>Used by the fixed-rate cases unless overridden.</t>
  </si>
  <si>
    <t>Default floating spread</t>
  </si>
  <si>
    <t>Spread over EURIBOR12m.</t>
  </si>
  <si>
    <t>Start date</t>
  </si>
  <si>
    <t>Contractual origination date.</t>
  </si>
  <si>
    <t>Maturity date</t>
  </si>
  <si>
    <t>2056-02-24</t>
  </si>
  <si>
    <t>Thirty-year teaching example.</t>
  </si>
  <si>
    <t>Payment frequency</t>
  </si>
  <si>
    <t>Monthly</t>
  </si>
  <si>
    <t>Case schedule counts refer to payment periods.</t>
  </si>
  <si>
    <t>Day counter</t>
  </si>
  <si>
    <t>Actual360</t>
  </si>
  <si>
    <t>Contractual accrual and amortization convention.</t>
  </si>
  <si>
    <t>Currency</t>
  </si>
  <si>
    <t>EUR</t>
  </si>
  <si>
    <t>These market assumptions are configured in EUR.</t>
  </si>
  <si>
    <t>Position side</t>
  </si>
  <si>
    <t>Receive</t>
  </si>
  <si>
    <t>Lender receipts are positive; Pay reverses the direction.</t>
  </si>
  <si>
    <t>Requested measure</t>
  </si>
  <si>
    <t>What the result contains</t>
  </si>
  <si>
    <t>Monetary present value</t>
  </si>
  <si>
    <t>Cashflows</t>
  </si>
  <si>
    <t>Resolved payments and receipts</t>
  </si>
  <si>
    <t>Sensitivities</t>
  </si>
  <si>
    <t>Raw derivatives per unit market input</t>
  </si>
  <si>
    <t>Policy currency</t>
  </si>
  <si>
    <t>Ordinary discount index</t>
  </si>
  <si>
    <t>ESTR</t>
  </si>
  <si>
    <t>FUNDING</t>
  </si>
  <si>
    <t>Case inputs · one block per agreement</t>
  </si>
  <si>
    <t>Each block keeps its contractual settings and coupon schedule together. Discount-curve choice selects a pricer policy; it is never passed to the instrument.</t>
  </si>
  <si>
    <t>Next → 3 Market</t>
  </si>
  <si>
    <t>01. French</t>
  </si>
  <si>
    <t>Baseline monthly amortization.</t>
  </si>
  <si>
    <t>Coupon / spread</t>
  </si>
  <si>
    <t>Projection index</t>
  </si>
  <si>
    <t>Repayment</t>
  </si>
  <si>
    <t>Pricing discount curve</t>
  </si>
  <si>
    <t>French</t>
  </si>
  <si>
    <t>Contract settings: native defaults.</t>
  </si>
  <si>
    <t>Coupon schedule: use the scalar rate / spread and projection index above.</t>
  </si>
  <si>
    <t>See this case's results →</t>
  </si>
  <si>
    <t>02. Bullet</t>
  </si>
  <si>
    <t>Repay all principal at maturity.</t>
  </si>
  <si>
    <t>Bullet</t>
  </si>
  <si>
    <t>03. 25% balloon</t>
  </si>
  <si>
    <t>Reserve one quarter of principal for maturity.</t>
  </si>
  <si>
    <t>Balloon</t>
  </si>
  <si>
    <t>Setting</t>
  </si>
  <si>
    <t>Balloon fraction</t>
  </si>
  <si>
    <t>04. Floating</t>
  </si>
  <si>
    <t>EURIBOR12m plus a spread; principal is agreed at 5%.</t>
  </si>
  <si>
    <t>EURIBOR12m</t>
  </si>
  <si>
    <t>Amortization rate</t>
  </si>
  <si>
    <t>05. 5-year introductory fixed</t>
  </si>
  <si>
    <t>Fixed for 60 payments, then floating through maturity.</t>
  </si>
  <si>
    <t>Periods</t>
  </si>
  <si>
    <t>Rate / spread</t>
  </si>
  <si>
    <t>Market index</t>
  </si>
  <si>
    <t>Edit this schedule; the scalar above follows its first row. Blank index = fixed; blank final count fills maturity. Fair-rate targets follow segment order.</t>
  </si>
  <si>
    <t>06. Bounded floating</t>
  </si>
  <si>
    <t>Bounded projected coupons; fair rate is not supported.</t>
  </si>
  <si>
    <t>Floor</t>
  </si>
  <si>
    <t>Cap</t>
  </si>
  <si>
    <t>07. 15% annual CPR</t>
  </si>
  <si>
    <t>Conditional prepayment reduces future principal and interest.</t>
  </si>
  <si>
    <t>Annual CPR</t>
  </si>
  <si>
    <t>08. Borrower credit</t>
  </si>
  <si>
    <t>Survival and recovery use the illustrative CDS curve.</t>
  </si>
  <si>
    <t>Credit index</t>
  </si>
  <si>
    <t>Credit:BORROWER</t>
  </si>
  <si>
    <t>Recovery</t>
  </si>
  <si>
    <t>09. Funded fixed</t>
  </si>
  <si>
    <t>Same fixed contract; a different pricer policy selects funding.</t>
  </si>
  <si>
    <t>10. Funded floating</t>
  </si>
  <si>
    <t>Same floating contract; discount using FUNDING.</t>
  </si>
  <si>
    <t>11. Stepped fixed</t>
  </si>
  <si>
    <t>Three consecutive fixed coupon segments.</t>
  </si>
  <si>
    <t>12. Stepped then floating</t>
  </si>
  <si>
    <t>Two fixed segments followed by a floating margin.</t>
  </si>
  <si>
    <t>Market assumptions and curve construction</t>
  </si>
  <si>
    <t>Edit the blue rates. The steps below the input tables construct ordinary curves from those cells.</t>
  </si>
  <si>
    <t>Next → 4 Build</t>
  </si>
  <si>
    <t>Pillar</t>
  </si>
  <si>
    <t>ESTR zero</t>
  </si>
  <si>
    <t>EURIBOR12m zero</t>
  </si>
  <si>
    <t>Treasury spread</t>
  </si>
  <si>
    <t>0D</t>
  </si>
  <si>
    <t>5Y</t>
  </si>
  <si>
    <t>10Y</t>
  </si>
  <si>
    <t>30Y</t>
  </si>
  <si>
    <t>35Y</t>
  </si>
  <si>
    <t>These are illustrative continuous zero rates on Actual360. FUNDING is an ordinary composite curve: EURIBOR12m discount factors × treasury-spread discount factors.</t>
  </si>
  <si>
    <t>Borrower CDS quote</t>
  </si>
  <si>
    <t>Annual spread</t>
  </si>
  <si>
    <t>Cds_BORROWER_EUR_1Y</t>
  </si>
  <si>
    <t>Cds_BORROWER_EUR_3Y</t>
  </si>
  <si>
    <t>Cds_BORROWER_EUR_5Y</t>
  </si>
  <si>
    <t>Cds_BORROWER_EUR_10Y</t>
  </si>
  <si>
    <t>Cds_BORROWER_EUR_20Y</t>
  </si>
  <si>
    <t>Cds_BORROWER_EUR_30Y</t>
  </si>
  <si>
    <t>Cds_BORROWER_EUR_35Y</t>
  </si>
  <si>
    <t>Borrower recovery</t>
  </si>
  <si>
    <t>Fraction recovered on borrower default.</t>
  </si>
  <si>
    <t>Construction step</t>
  </si>
  <si>
    <t>Object reference</t>
  </si>
  <si>
    <t>Why it is needed</t>
  </si>
  <si>
    <t>1. Create quote store</t>
  </si>
  <si>
    <t>Sets the valuation date for the market.</t>
  </si>
  <si>
    <t>2.1 Load CDS quote</t>
  </si>
  <si>
    <t>Each update consumes the preceding store revision.</t>
  </si>
  <si>
    <t>2.2 Load CDS quote</t>
  </si>
  <si>
    <t>2.3 Load CDS quote</t>
  </si>
  <si>
    <t>2.4 Load CDS quote</t>
  </si>
  <si>
    <t>2.5 Load CDS quote</t>
  </si>
  <si>
    <t>2.6 Load CDS quote</t>
  </si>
  <si>
    <t>2.7 Load CDS quote</t>
  </si>
  <si>
    <t>3. Create curve configurations</t>
  </si>
  <si>
    <t>Curve construction choices are separate from contract terms.</t>
  </si>
  <si>
    <t>4. Configure ESTR</t>
  </si>
  <si>
    <t>The context builds this curve from the blue input range.</t>
  </si>
  <si>
    <t>5. Configure projection curve</t>
  </si>
  <si>
    <t>EURIBOR12m projects floating coupon fixings.</t>
  </si>
  <si>
    <t>6. Configure treasury spread</t>
  </si>
  <si>
    <t>The spread is constructed with the same curve API.</t>
  </si>
  <si>
    <t>7. Configure funding curve</t>
  </si>
  <si>
    <t>The discount policy chooses whether to use ESTR or FUNDING.</t>
  </si>
  <si>
    <t>8. Create credit configurations</t>
  </si>
  <si>
    <t>Borrower survival is calibrated from the CDS quotes.</t>
  </si>
  <si>
    <t>9. Configure borrower credit</t>
  </si>
  <si>
    <t>Only the borrower-credit case attaches this credit index to its contract.</t>
  </si>
  <si>
    <t>Build and evaluate the loan agreements</t>
  </si>
  <si>
    <t>Shared context and pricers come first. Each case then follows instrument → trade → pricer selection → evaluation. Use the links on Results to jump directly to a case.</t>
  </si>
  <si>
    <t>Next → 5 Results</t>
  </si>
  <si>
    <t>Step</t>
  </si>
  <si>
    <t>Purpose</t>
  </si>
  <si>
    <t>1. Initialize pricing context</t>
  </si>
  <si>
    <t>Constructs the projection, discount, funding and credit curves.</t>
  </si>
  <si>
    <t>2. ESTR discount policy</t>
  </si>
  <si>
    <t>Maps EUR to an ordinary market curve.</t>
  </si>
  <si>
    <t>3. ESTR loan pricer</t>
  </si>
  <si>
    <t>Same native LoanPricer, with an explicit policy.</t>
  </si>
  <si>
    <t>4. FUNDING discount policy</t>
  </si>
  <si>
    <t>5. FUNDING loan pricer</t>
  </si>
  <si>
    <t>6. Get ESTR for layout examples</t>
  </si>
  <si>
    <t>A small five-node table for the layout lesson.</t>
  </si>
  <si>
    <t>7.1 Fair-rate request 0</t>
  </si>
  <si>
    <t>Returns one requested segment's scalar; earlier segments are bootstrapped first.</t>
  </si>
  <si>
    <t>7.2 Fair-rate request 1</t>
  </si>
  <si>
    <t>7.3 Fair-rate request 2</t>
  </si>
  <si>
    <t>Edit these case inputs →</t>
  </si>
  <si>
    <t>1. Define this instrument</t>
  </si>
  <si>
    <t>2. Create this position</t>
  </si>
  <si>
    <t>The contractual principal stays in the instrument.</t>
  </si>
  <si>
    <t>3. Select explicit pricer</t>
  </si>
  <si>
    <t>The case's discount choice selects an existing policy-configured pricer.</t>
  </si>
  <si>
    <t>4. Evaluate value and tables</t>
  </si>
  <si>
    <t>Future receipt PV excludes the original principal advance.</t>
  </si>
  <si>
    <t>5.1 Solve segment 0</t>
  </si>
  <si>
    <t>Repay remaining principal at each prefix end, lock earlier solved rates, then extend.</t>
  </si>
  <si>
    <t>Named loan settings</t>
  </si>
  <si>
    <t>Each optional parameter is visible in IntelliSense; its value refers to the case input cell.</t>
  </si>
  <si>
    <t>5.2 Solve segment 1</t>
  </si>
  <si>
    <t>5.3 Solve segment 2</t>
  </si>
  <si>
    <t>Compare the loan results</t>
  </si>
  <si>
    <t>PV is future receipt value in EUR; net origination value subtracts principal. Fair-rate columns are annual decimal coupon / spread levels. Blank means that segment does not exist.</t>
  </si>
  <si>
    <t>Next → 6 Cashflows</t>
  </si>
  <si>
    <t>Case</t>
  </si>
  <si>
    <t>Receipt PV (EUR)</t>
  </si>
  <si>
    <t>PV less advance</t>
  </si>
  <si>
    <t>Fair segment 0</t>
  </si>
  <si>
    <t>Fair segment 1</t>
  </si>
  <si>
    <t>Fair segment 2</t>
  </si>
  <si>
    <t>Edit inputs</t>
  </si>
  <si>
    <t>Read build</t>
  </si>
  <si>
    <t>Edit →</t>
  </si>
  <si>
    <t>Build →</t>
  </si>
  <si>
    <t>25% balloon</t>
  </si>
  <si>
    <t>Floating</t>
  </si>
  <si>
    <t>5-year introductory fixed</t>
  </si>
  <si>
    <t>Bounded floating</t>
  </si>
  <si>
    <t>Bounded: n/a</t>
  </si>
  <si>
    <t>15% annual CPR</t>
  </si>
  <si>
    <t>Borrower credit</t>
  </si>
  <si>
    <t>Funded fixed</t>
  </si>
  <si>
    <t>Funded floating</t>
  </si>
  <si>
    <t>Stepped fixed</t>
  </si>
  <si>
    <t>Stepped then floating</t>
  </si>
  <si>
    <t>Case lookup for detail sheets</t>
  </si>
  <si>
    <t>Evaluation result</t>
  </si>
  <si>
    <t>Inspect one case</t>
  </si>
  <si>
    <t>Choose a case, then open Cashflows or Risk. Both detail sheets follow this selection.</t>
  </si>
  <si>
    <t>Selected case for detail sheets</t>
  </si>
  <si>
    <t>The dropdown on Results chooses an existing evaluation result.</t>
  </si>
  <si>
    <t>FairRate(index) returns one scalar. For mixed or stepped loans, earlier rate segments are solved and fixed before the selected segment is solved. The original agreement remains unchanged. Bounded coupons have no fair-rate output.</t>
  </si>
  <si>
    <t>Selected loan · expected receipts</t>
  </si>
  <si>
    <t>Signed, undiscounted receipts and payments in each row's currency. Loan legs 0 / 1 / 2 are scheduled receipts / prepayment / recovery.</t>
  </si>
  <si>
    <t>Next → 7 Risk</t>
  </si>
  <si>
    <t>Selected case</t>
  </si>
  <si>
    <t>Change case →</t>
  </si>
  <si>
    <t>Selected loan · market risk</t>
  </si>
  <si>
    <t>Raw value derivatives per unit input. Multiply a decimal-rate derivative by 0.0001 to estimate a +1 bp move. Preserve each factor's units.</t>
  </si>
  <si>
    <t>Next → 8 Layouts</t>
  </si>
  <si>
    <t>Table layout · transpose and headers</t>
  </si>
  <si>
    <t>The same small ESTR curve table is shown four ways. Header removal happens before transposition. All other report tables accept the same flags.</t>
  </si>
  <si>
    <t>Default · rows with headers</t>
  </si>
  <si>
    <t>Rows without headers</t>
  </si>
  <si>
    <t>Transposed with headers</t>
  </si>
  <si>
    <t>Transposed without headers</t>
  </si>
</sst>
</file>

<file path=xl/styles.xml><?xml version="1.0" encoding="utf-8"?>
<styleSheet xmlns="http://schemas.openxmlformats.org/spreadsheetml/2006/main">
  <numFmts count="5">
    <numFmt numFmtId="164" formatCode="#,##0.00"/>
    <numFmt numFmtId="165" formatCode="0.00%"/>
    <numFmt numFmtId="166" formatCode="0.0000%"/>
    <numFmt numFmtId="167" formatCode="#,##0.00;[Red](#,##0.00)"/>
    <numFmt numFmtId="168" formatCode="0.0000"/>
  </numFmts>
  <fonts count="12">
    <font>
      <sz val="11"/>
      <color theme="1"/>
      <name val="Calibri"/>
      <family val="2"/>
      <scheme val="minor"/>
    </font>
    <font>
      <sz val="11"/>
      <color rgb="FF273B4A"/>
      <name val="Calibri"/>
      <family val="2"/>
      <scheme val="minor"/>
    </font>
    <font>
      <b/>
      <sz val="20"/>
      <color rgb="FFFFFFFF"/>
      <name val="Calibri"/>
      <family val="2"/>
      <scheme val="minor"/>
    </font>
    <font>
      <sz val="11"/>
      <color rgb="FF526779"/>
      <name val="Calibri"/>
      <family val="2"/>
      <scheme val="minor"/>
    </font>
    <font>
      <b/>
      <sz val="12"/>
      <color rgb="FF17324D"/>
      <name val="Calibri"/>
      <family val="2"/>
      <scheme val="minor"/>
    </font>
    <font>
      <b/>
      <sz val="11"/>
      <color rgb="FFFFFFFF"/>
      <name val="Calibri"/>
      <family val="2"/>
      <scheme val="minor"/>
    </font>
    <font>
      <u/>
      <sz val="11"/>
      <color rgb="FF126B9A"/>
      <name val="Calibri"/>
      <family val="2"/>
      <scheme val="minor"/>
    </font>
    <font>
      <sz val="10"/>
      <color rgb="FF526779"/>
      <name val="Calibri"/>
      <family val="2"/>
      <scheme val="minor"/>
    </font>
    <font>
      <sz val="11"/>
      <color rgb="FF174EA6"/>
      <name val="Calibri"/>
      <family val="2"/>
      <scheme val="minor"/>
    </font>
    <font>
      <sz val="11"/>
      <color rgb="FF145C43"/>
      <name val="Calibri"/>
      <family val="2"/>
      <scheme val="minor"/>
    </font>
    <font>
      <sz val="9"/>
      <color rgb="FF526779"/>
      <name val="Consolas"/>
      <family val="2"/>
    </font>
    <font>
      <sz val="8"/>
      <color indexed="81"/>
      <name val="Tahoma"/>
      <family val="2"/>
    </font>
  </fonts>
  <fills count="9">
    <fill>
      <patternFill patternType="none"/>
    </fill>
    <fill>
      <patternFill patternType="gray125"/>
    </fill>
    <fill>
      <patternFill patternType="solid">
        <fgColor rgb="FF17324D"/>
        <bgColor indexed="64"/>
      </patternFill>
    </fill>
    <fill>
      <patternFill patternType="solid">
        <fgColor rgb="FFE5EDF2"/>
        <bgColor indexed="64"/>
      </patternFill>
    </fill>
    <fill>
      <patternFill patternType="solid">
        <fgColor rgb="FF176B75"/>
        <bgColor indexed="64"/>
      </patternFill>
    </fill>
    <fill>
      <patternFill patternType="solid">
        <fgColor rgb="FFE8F1FC"/>
        <bgColor indexed="64"/>
      </patternFill>
    </fill>
    <fill>
      <patternFill patternType="solid">
        <fgColor rgb="FFEAF5EF"/>
        <bgColor indexed="64"/>
      </patternFill>
    </fill>
    <fill>
      <patternFill patternType="solid">
        <fgColor rgb="FFF0F2F5"/>
        <bgColor indexed="64"/>
      </patternFill>
    </fill>
    <fill>
      <patternFill patternType="solid">
        <fgColor rgb="FFF7F9FB"/>
        <bgColor indexed="64"/>
      </patternFill>
    </fill>
  </fills>
  <borders count="3">
    <border>
      <left/>
      <right/>
      <top/>
      <bottom/>
      <diagonal/>
    </border>
    <border>
      <left/>
      <right/>
      <top/>
      <bottom style="thin">
        <color auto="1"/>
      </bottom>
      <diagonal/>
    </border>
    <border>
      <left style="thin">
        <color rgb="FFCBDBEE"/>
      </left>
      <right style="thin">
        <color rgb="FFCBDBEE"/>
      </right>
      <top style="thin">
        <color rgb="FFCBDBEE"/>
      </top>
      <bottom style="thin">
        <color rgb="FFCBDBEE"/>
      </bottom>
      <diagonal/>
    </border>
  </borders>
  <cellStyleXfs count="1">
    <xf numFmtId="0" fontId="0" fillId="0" borderId="0"/>
  </cellStyleXfs>
  <cellXfs count="17">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3" fillId="0" borderId="0" xfId="0" applyFont="1" applyAlignment="1">
      <alignment vertical="center" wrapText="1"/>
    </xf>
    <xf numFmtId="0" fontId="4" fillId="3" borderId="0" xfId="0" applyFont="1" applyFill="1" applyAlignment="1">
      <alignment vertical="center" wrapText="1"/>
    </xf>
    <xf numFmtId="0" fontId="5" fillId="4" borderId="1" xfId="0" applyFont="1" applyFill="1" applyBorder="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5" borderId="2" xfId="0" applyFont="1" applyFill="1" applyBorder="1" applyAlignment="1">
      <alignment vertical="center" wrapText="1"/>
    </xf>
    <xf numFmtId="0" fontId="9" fillId="6" borderId="0" xfId="0" applyFont="1" applyFill="1" applyAlignment="1">
      <alignment vertical="center" wrapText="1"/>
    </xf>
    <xf numFmtId="0" fontId="10" fillId="7" borderId="0" xfId="0" applyFont="1" applyFill="1" applyAlignment="1">
      <alignment vertical="center" wrapText="1"/>
    </xf>
    <xf numFmtId="164" fontId="8" fillId="5" borderId="2" xfId="0" applyNumberFormat="1" applyFont="1" applyFill="1" applyBorder="1" applyAlignment="1">
      <alignment vertical="center" wrapText="1"/>
    </xf>
    <xf numFmtId="165" fontId="8" fillId="5" borderId="2" xfId="0" applyNumberFormat="1" applyFont="1" applyFill="1" applyBorder="1" applyAlignment="1">
      <alignment vertical="center" wrapText="1"/>
    </xf>
    <xf numFmtId="166" fontId="9" fillId="6" borderId="0" xfId="0" applyNumberFormat="1" applyFont="1" applyFill="1" applyAlignment="1">
      <alignment vertical="center" wrapText="1"/>
    </xf>
    <xf numFmtId="0" fontId="10" fillId="8" borderId="0" xfId="0" applyFont="1" applyFill="1" applyAlignment="1">
      <alignment vertical="top" wrapText="1"/>
    </xf>
    <xf numFmtId="167" fontId="9" fillId="6" borderId="0" xfId="0" applyNumberFormat="1" applyFont="1" applyFill="1" applyAlignment="1">
      <alignment vertical="center" wrapText="1"/>
    </xf>
    <xf numFmtId="168" fontId="9" fillId="6" borderId="0" xfId="0" applyNumberFormat="1"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sheetPr>
    <pageSetUpPr fitToPage="1"/>
  </sheetPr>
  <dimension ref="A1:F31"/>
  <sheetViews>
    <sheetView showGridLines="0" tabSelected="1" zoomScale="90" zoomScaleNormal="90" workbookViewId="0">
      <pane ySplit="9" topLeftCell="A10" activePane="bottomLeft" state="frozen"/>
      <selection pane="bottomLeft"/>
    </sheetView>
  </sheetViews>
  <sheetFormatPr defaultRowHeight="26.25" customHeight="1"/>
  <cols>
    <col min="1" max="1" width="8.7109375" style="1" customWidth="1"/>
    <col min="2" max="2" width="22.7109375" style="1" customWidth="1"/>
    <col min="3" max="3" width="17.7109375" style="1" customWidth="1"/>
    <col min="4" max="5" width="22.7109375" style="1" customWidth="1"/>
    <col min="6" max="6" width="18.7109375" style="1" customWidth="1"/>
  </cols>
  <sheetData>
    <row r="1" spans="1:6" ht="30" customHeight="1">
      <c r="A1" s="2" t="s">
        <v>0</v>
      </c>
      <c r="B1" s="2"/>
      <c r="C1" s="2"/>
      <c r="D1" s="2"/>
      <c r="E1" s="2"/>
      <c r="F1" s="2"/>
    </row>
    <row r="2" spans="1:6" ht="30" customHeight="1">
      <c r="A2" s="2"/>
      <c r="B2" s="2"/>
      <c r="C2" s="2"/>
      <c r="D2" s="2"/>
      <c r="E2" s="2"/>
      <c r="F2" s="2"/>
    </row>
    <row r="3" spans="1:6" ht="26.25" customHeight="1">
      <c r="A3" s="3" t="s">
        <v>1</v>
      </c>
      <c r="B3" s="3"/>
      <c r="C3" s="3"/>
      <c r="D3" s="3"/>
      <c r="E3" s="3"/>
      <c r="F3" s="3"/>
    </row>
    <row r="4" spans="1:6" ht="26.25" customHeight="1">
      <c r="A4" s="3"/>
      <c r="B4" s="3"/>
      <c r="C4" s="3"/>
      <c r="D4" s="3"/>
      <c r="E4" s="3"/>
      <c r="F4" s="3"/>
    </row>
    <row r="6" spans="1:6" ht="26.25" customHeight="1">
      <c r="A6" s="4" t="s">
        <v>2</v>
      </c>
      <c r="B6" s="4"/>
      <c r="C6" s="4"/>
      <c r="D6" s="4"/>
      <c r="E6" s="4"/>
      <c r="F6" s="4"/>
    </row>
    <row r="7" spans="1:6" ht="26.25" customHeight="1">
      <c r="A7" s="4"/>
      <c r="B7" s="4"/>
      <c r="C7" s="4"/>
      <c r="D7" s="4"/>
      <c r="E7" s="4"/>
      <c r="F7" s="4"/>
    </row>
    <row r="9" spans="1:6" ht="26.25" customHeight="1">
      <c r="A9" s="5" t="s">
        <v>3</v>
      </c>
      <c r="B9" s="5"/>
      <c r="C9" s="5"/>
      <c r="D9" s="5"/>
      <c r="E9" s="5"/>
      <c r="F9" s="5"/>
    </row>
    <row r="10" spans="1:6" ht="33.75" customHeight="1">
      <c r="A10" s="4" t="s">
        <v>4</v>
      </c>
      <c r="B10" s="6" t="s">
        <v>5</v>
      </c>
      <c r="C10" s="7"/>
      <c r="D10" s="1" t="s">
        <v>6</v>
      </c>
      <c r="E10" s="1"/>
      <c r="F10" s="1"/>
    </row>
    <row r="11" spans="1:6" ht="33.75" customHeight="1">
      <c r="A11" s="4" t="s">
        <v>7</v>
      </c>
      <c r="B11" s="6" t="s">
        <v>8</v>
      </c>
      <c r="C11" s="7"/>
      <c r="D11" s="1" t="s">
        <v>9</v>
      </c>
      <c r="E11" s="1"/>
      <c r="F11" s="1"/>
    </row>
    <row r="12" spans="1:6" ht="33.75" customHeight="1">
      <c r="A12" s="4" t="s">
        <v>10</v>
      </c>
      <c r="B12" s="6" t="s">
        <v>11</v>
      </c>
      <c r="C12" s="7"/>
      <c r="D12" s="1" t="s">
        <v>12</v>
      </c>
      <c r="E12" s="1"/>
      <c r="F12" s="1"/>
    </row>
    <row r="13" spans="1:6" ht="33.75" customHeight="1">
      <c r="A13" s="4" t="s">
        <v>13</v>
      </c>
      <c r="B13" s="6" t="s">
        <v>14</v>
      </c>
      <c r="C13" s="7"/>
      <c r="D13" s="1" t="s">
        <v>15</v>
      </c>
      <c r="E13" s="1"/>
      <c r="F13" s="1"/>
    </row>
    <row r="14" spans="1:6" ht="33.75" customHeight="1">
      <c r="A14" s="4" t="s">
        <v>16</v>
      </c>
      <c r="B14" s="6" t="s">
        <v>17</v>
      </c>
      <c r="C14" s="7"/>
      <c r="D14" s="1" t="s">
        <v>18</v>
      </c>
      <c r="E14" s="1"/>
      <c r="F14" s="1"/>
    </row>
    <row r="15" spans="1:6" ht="33.75" customHeight="1">
      <c r="A15" s="4" t="s">
        <v>19</v>
      </c>
      <c r="B15" s="6" t="s">
        <v>20</v>
      </c>
      <c r="C15" s="7"/>
      <c r="D15" s="1" t="s">
        <v>21</v>
      </c>
      <c r="E15" s="1"/>
      <c r="F15" s="1"/>
    </row>
    <row r="16" spans="1:6" ht="33.75" customHeight="1">
      <c r="A16" s="4" t="s">
        <v>22</v>
      </c>
      <c r="B16" s="6" t="s">
        <v>23</v>
      </c>
      <c r="C16" s="7"/>
      <c r="D16" s="1" t="s">
        <v>24</v>
      </c>
      <c r="E16" s="1"/>
      <c r="F16" s="1"/>
    </row>
    <row r="17" spans="1:6" ht="33.75" customHeight="1">
      <c r="A17" s="4" t="s">
        <v>25</v>
      </c>
      <c r="B17" s="6" t="s">
        <v>26</v>
      </c>
      <c r="C17" s="7"/>
      <c r="D17" s="1" t="s">
        <v>27</v>
      </c>
      <c r="E17" s="1"/>
      <c r="F17" s="1"/>
    </row>
    <row r="20" spans="1:6" ht="26.25" customHeight="1">
      <c r="A20" s="5" t="s">
        <v>28</v>
      </c>
      <c r="B20" s="5"/>
      <c r="C20" s="5"/>
      <c r="D20" s="5"/>
      <c r="E20" s="5"/>
      <c r="F20" s="5"/>
    </row>
    <row r="21" spans="1:6" ht="30" customHeight="1">
      <c r="A21" s="8" t="s">
        <v>29</v>
      </c>
      <c r="B21" s="8"/>
      <c r="C21" s="8"/>
      <c r="D21" s="1" t="s">
        <v>30</v>
      </c>
      <c r="E21" s="1"/>
      <c r="F21" s="1"/>
    </row>
    <row r="22" spans="1:6" ht="30" customHeight="1">
      <c r="A22" s="9" t="s">
        <v>31</v>
      </c>
      <c r="B22" s="9"/>
      <c r="C22" s="9"/>
      <c r="D22" s="1" t="s">
        <v>32</v>
      </c>
      <c r="E22" s="1"/>
      <c r="F22" s="1"/>
    </row>
    <row r="23" spans="1:6" ht="30" customHeight="1">
      <c r="A23" s="10" t="s">
        <v>33</v>
      </c>
      <c r="B23" s="10"/>
      <c r="C23" s="10"/>
      <c r="D23" s="1" t="s">
        <v>34</v>
      </c>
      <c r="E23" s="1"/>
      <c r="F23" s="1"/>
    </row>
    <row r="25" spans="1:6" ht="26.25" customHeight="1">
      <c r="A25" s="5" t="s">
        <v>35</v>
      </c>
      <c r="B25" s="5"/>
      <c r="C25" s="5"/>
      <c r="D25" s="5"/>
      <c r="E25" s="5"/>
      <c r="F25" s="5"/>
    </row>
    <row r="26" spans="1:6" ht="33.75" customHeight="1">
      <c r="A26" s="1" t="s">
        <v>36</v>
      </c>
      <c r="B26" s="1"/>
      <c r="C26" s="1"/>
      <c r="D26" s="1"/>
      <c r="E26" s="1"/>
      <c r="F26" s="1"/>
    </row>
    <row r="27" spans="1:6" ht="33.75" customHeight="1">
      <c r="A27" s="1" t="s">
        <v>37</v>
      </c>
      <c r="B27" s="1"/>
      <c r="C27" s="1"/>
      <c r="D27" s="1"/>
      <c r="E27" s="1"/>
      <c r="F27" s="1"/>
    </row>
    <row r="28" spans="1:6" ht="33.75" customHeight="1">
      <c r="A28" s="1" t="s">
        <v>38</v>
      </c>
      <c r="B28" s="1"/>
      <c r="C28" s="1"/>
      <c r="D28" s="1"/>
      <c r="E28" s="1"/>
      <c r="F28" s="1"/>
    </row>
    <row r="30" spans="1:6" ht="26.25" customHeight="1">
      <c r="A30" s="7" t="s">
        <v>39</v>
      </c>
      <c r="B30" s="7"/>
      <c r="C30" s="7"/>
      <c r="D30" s="7"/>
      <c r="E30" s="7"/>
      <c r="F30" s="7"/>
    </row>
    <row r="31" spans="1:6" ht="26.25" customHeight="1">
      <c r="A31" s="7"/>
      <c r="B31" s="7"/>
      <c r="C31" s="7"/>
      <c r="D31" s="7"/>
      <c r="E31" s="7"/>
      <c r="F31" s="7"/>
    </row>
  </sheetData>
  <mergeCells count="32">
    <mergeCell ref="A1:F2"/>
    <mergeCell ref="A3:F4"/>
    <mergeCell ref="A6:F7"/>
    <mergeCell ref="A9:F9"/>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A20:F20"/>
    <mergeCell ref="A21:C21"/>
    <mergeCell ref="D21:F21"/>
    <mergeCell ref="A22:C22"/>
    <mergeCell ref="D22:F22"/>
    <mergeCell ref="A23:C23"/>
    <mergeCell ref="D23:F23"/>
    <mergeCell ref="A25:F25"/>
    <mergeCell ref="A26:F26"/>
    <mergeCell ref="A27:F27"/>
    <mergeCell ref="A28:F28"/>
    <mergeCell ref="A30:F31"/>
  </mergeCells>
  <hyperlinks>
    <hyperlink ref="B10" location="'1 Inputs'!A1" display="1 Inputs"/>
    <hyperlink ref="B11" location="'2 Cases'!A1" display="2 Cases"/>
    <hyperlink ref="B12" location="'3 Market'!A1" display="3 Market"/>
    <hyperlink ref="B13" location="'4 Build'!A1" display="4 Build"/>
    <hyperlink ref="B14" location="'5 Results'!A1" display="5 Results"/>
    <hyperlink ref="B15" location="'6 Cashflows'!A1" display="6 Cashflows"/>
    <hyperlink ref="B16" location="'7 Risk'!A1" display="7 Risk"/>
    <hyperlink ref="B17" location="'8 Layouts'!A1" display="8 Layouts"/>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sheetPr>
    <tabColor rgb="FF337AB7"/>
    <pageSetUpPr fitToPage="1"/>
  </sheetPr>
  <dimension ref="A1:C29"/>
  <sheetViews>
    <sheetView showGridLines="0" zoomScale="85" zoomScaleNormal="85" workbookViewId="0">
      <pane xSplit="1" ySplit="6" topLeftCell="B7" activePane="bottomRight" state="frozen"/>
      <selection pane="topRight" activeCell="B1" sqref="B1"/>
      <selection pane="bottomLeft" activeCell="A7" sqref="A7"/>
      <selection pane="bottomRight"/>
    </sheetView>
  </sheetViews>
  <sheetFormatPr defaultRowHeight="24" customHeight="1"/>
  <cols>
    <col min="1" max="1" width="34.7109375" style="1" customWidth="1"/>
    <col min="2" max="2" width="26.7109375" style="1" customWidth="1"/>
    <col min="3" max="3" width="62.7109375" style="1" customWidth="1"/>
  </cols>
  <sheetData>
    <row r="1" spans="1:3" ht="38.25" customHeight="1">
      <c r="A1" s="2" t="s">
        <v>40</v>
      </c>
      <c r="B1" s="2"/>
      <c r="C1" s="2"/>
    </row>
    <row r="2" spans="1:3" ht="24" customHeight="1">
      <c r="A2" s="3" t="s">
        <v>41</v>
      </c>
      <c r="B2" s="3"/>
      <c r="C2" s="3"/>
    </row>
    <row r="3" spans="1:3" ht="24" customHeight="1">
      <c r="A3" s="3"/>
      <c r="B3" s="3"/>
      <c r="C3" s="3"/>
    </row>
    <row r="4" spans="1:3" ht="36" customHeight="1">
      <c r="A4" s="6" t="s">
        <v>42</v>
      </c>
      <c r="C4" s="6" t="s">
        <v>43</v>
      </c>
    </row>
    <row r="6" spans="1:3" ht="36" customHeight="1">
      <c r="A6" s="5" t="s">
        <v>44</v>
      </c>
      <c r="B6" s="5" t="s">
        <v>45</v>
      </c>
      <c r="C6" s="5" t="s">
        <v>46</v>
      </c>
    </row>
    <row r="7" spans="1:3" ht="32.25" customHeight="1">
      <c r="A7" s="1" t="s">
        <v>47</v>
      </c>
      <c r="B7" s="8" t="s">
        <v>48</v>
      </c>
      <c r="C7" s="7" t="s">
        <v>49</v>
      </c>
    </row>
    <row r="8" spans="1:3" ht="32.25" customHeight="1">
      <c r="A8" s="1" t="s">
        <v>50</v>
      </c>
      <c r="B8" s="11">
        <v>250000</v>
      </c>
      <c r="C8" s="7" t="s">
        <v>51</v>
      </c>
    </row>
    <row r="9" spans="1:3" ht="32.25" customHeight="1">
      <c r="A9" s="1" t="s">
        <v>52</v>
      </c>
      <c r="B9" s="12">
        <v>0.06</v>
      </c>
      <c r="C9" s="7" t="s">
        <v>53</v>
      </c>
    </row>
    <row r="10" spans="1:3" ht="32.25" customHeight="1">
      <c r="A10" s="1" t="s">
        <v>54</v>
      </c>
      <c r="B10" s="12">
        <v>0.01</v>
      </c>
      <c r="C10" s="7" t="s">
        <v>55</v>
      </c>
    </row>
    <row r="11" spans="1:3" ht="32.25" customHeight="1">
      <c r="A11" s="1" t="s">
        <v>56</v>
      </c>
      <c r="B11" s="8" t="s">
        <v>48</v>
      </c>
      <c r="C11" s="7" t="s">
        <v>57</v>
      </c>
    </row>
    <row r="12" spans="1:3" ht="32.25" customHeight="1">
      <c r="A12" s="1" t="s">
        <v>58</v>
      </c>
      <c r="B12" s="8" t="s">
        <v>59</v>
      </c>
      <c r="C12" s="7" t="s">
        <v>60</v>
      </c>
    </row>
    <row r="13" spans="1:3" ht="32.25" customHeight="1">
      <c r="A13" s="1" t="s">
        <v>61</v>
      </c>
      <c r="B13" s="8" t="s">
        <v>62</v>
      </c>
      <c r="C13" s="7" t="s">
        <v>63</v>
      </c>
    </row>
    <row r="14" spans="1:3" ht="32.25" customHeight="1">
      <c r="A14" s="1" t="s">
        <v>64</v>
      </c>
      <c r="B14" s="8" t="s">
        <v>65</v>
      </c>
      <c r="C14" s="7" t="s">
        <v>66</v>
      </c>
    </row>
    <row r="15" spans="1:3" ht="32.25" customHeight="1">
      <c r="A15" s="1" t="s">
        <v>67</v>
      </c>
      <c r="B15" s="1" t="s">
        <v>68</v>
      </c>
      <c r="C15" s="7" t="s">
        <v>69</v>
      </c>
    </row>
    <row r="16" spans="1:3" ht="32.25" customHeight="1">
      <c r="A16" s="1" t="s">
        <v>70</v>
      </c>
      <c r="B16" s="8" t="s">
        <v>71</v>
      </c>
      <c r="C16" s="7" t="s">
        <v>72</v>
      </c>
    </row>
    <row r="20" spans="1:3" ht="36" customHeight="1">
      <c r="A20" s="5" t="s">
        <v>73</v>
      </c>
      <c r="B20" s="5" t="s">
        <v>74</v>
      </c>
      <c r="C20" s="5"/>
    </row>
    <row r="21" spans="1:3" ht="24" customHeight="1">
      <c r="A21" s="1" t="s">
        <v>45</v>
      </c>
      <c r="B21" s="7" t="s">
        <v>75</v>
      </c>
    </row>
    <row r="22" spans="1:3" ht="24" customHeight="1">
      <c r="A22" s="1" t="s">
        <v>76</v>
      </c>
      <c r="B22" s="7" t="s">
        <v>77</v>
      </c>
    </row>
    <row r="23" spans="1:3" ht="24" customHeight="1">
      <c r="A23" s="1" t="s">
        <v>78</v>
      </c>
      <c r="B23" s="7" t="s">
        <v>79</v>
      </c>
    </row>
    <row r="27" spans="1:3" ht="36" customHeight="1">
      <c r="A27" s="5" t="s">
        <v>80</v>
      </c>
      <c r="B27" s="5" t="s">
        <v>81</v>
      </c>
      <c r="C27" s="5"/>
    </row>
    <row r="28" spans="1:3" ht="24" customHeight="1">
      <c r="A28" s="1" t="s">
        <v>68</v>
      </c>
      <c r="B28" s="8" t="s">
        <v>82</v>
      </c>
    </row>
    <row r="29" spans="1:3" ht="24" customHeight="1">
      <c r="A29" s="1" t="s">
        <v>68</v>
      </c>
      <c r="B29" s="8" t="s">
        <v>83</v>
      </c>
    </row>
  </sheetData>
  <mergeCells count="2">
    <mergeCell ref="A1:C1"/>
    <mergeCell ref="A2:C3"/>
  </mergeCells>
  <hyperlinks>
    <hyperlink ref="A4" location="'Start Here'!A1" display="← Start Here"/>
    <hyperlink ref="C4" location="'2 Cases'!A1" display="Next → 2 Cases"/>
  </hyperlinks>
  <pageMargins left="0.3" right="0.3" top="0.4" bottom="0.4" header="0.3" footer="0.3"/>
  <pageSetup paperSize="9" fitToHeight="0" orientation="landscape"/>
  <headerFooter>
    <oddFooter>&amp;LQuantSupport&amp;CContract and position inputs&amp;R&amp;P / &amp;N</oddFooter>
  </headerFooter>
  <legacyDrawing r:id="rId1"/>
</worksheet>
</file>

<file path=xl/worksheets/sheet3.xml><?xml version="1.0" encoding="utf-8"?>
<worksheet xmlns="http://schemas.openxmlformats.org/spreadsheetml/2006/main" xmlns:r="http://schemas.openxmlformats.org/officeDocument/2006/relationships">
  <sheetPr>
    <tabColor rgb="FF337AB7"/>
    <pageSetUpPr fitToPage="1"/>
  </sheetPr>
  <dimension ref="A1:F139"/>
  <sheetViews>
    <sheetView showGridLines="0" zoomScale="85" zoomScaleNormal="85" workbookViewId="0">
      <pane ySplit="5" topLeftCell="A6" activePane="bottomLeft" state="frozen"/>
      <selection pane="bottomLeft"/>
    </sheetView>
  </sheetViews>
  <sheetFormatPr defaultRowHeight="24" customHeight="1"/>
  <cols>
    <col min="1" max="1" width="26.7109375" style="1" customWidth="1"/>
    <col min="2" max="2" width="20.7109375" style="1" customWidth="1"/>
    <col min="3" max="3" width="24.7109375" style="1" customWidth="1"/>
    <col min="4" max="5" width="18.7109375" style="1" customWidth="1"/>
    <col min="6" max="6" width="22.7109375" style="1" customWidth="1"/>
  </cols>
  <sheetData>
    <row r="1" spans="1:6" ht="38.25" customHeight="1">
      <c r="A1" s="2" t="s">
        <v>84</v>
      </c>
      <c r="B1" s="2"/>
      <c r="C1" s="2"/>
      <c r="D1" s="2"/>
      <c r="E1" s="2"/>
      <c r="F1" s="2"/>
    </row>
    <row r="2" spans="1:6" ht="24" customHeight="1">
      <c r="A2" s="3" t="s">
        <v>85</v>
      </c>
      <c r="B2" s="3"/>
      <c r="C2" s="3"/>
      <c r="D2" s="3"/>
      <c r="E2" s="3"/>
      <c r="F2" s="3"/>
    </row>
    <row r="3" spans="1:6" ht="24" customHeight="1">
      <c r="A3" s="3"/>
      <c r="B3" s="3"/>
      <c r="C3" s="3"/>
      <c r="D3" s="3"/>
      <c r="E3" s="3"/>
      <c r="F3" s="3"/>
    </row>
    <row r="4" spans="1:6" ht="36" customHeight="1">
      <c r="A4" s="6" t="s">
        <v>42</v>
      </c>
      <c r="F4" s="6" t="s">
        <v>86</v>
      </c>
    </row>
    <row r="6" spans="1:6" ht="24" customHeight="1">
      <c r="A6" s="4" t="s">
        <v>87</v>
      </c>
      <c r="B6" s="4"/>
      <c r="C6" s="4"/>
      <c r="D6" s="4"/>
      <c r="E6" s="4"/>
      <c r="F6" s="4"/>
    </row>
    <row r="7" spans="1:6" ht="24" customHeight="1">
      <c r="A7" s="7" t="s">
        <v>88</v>
      </c>
      <c r="B7" s="7"/>
      <c r="C7" s="7"/>
      <c r="D7" s="7"/>
      <c r="E7" s="7"/>
      <c r="F7" s="7"/>
    </row>
    <row r="8" spans="1:6" ht="24" customHeight="1">
      <c r="A8" s="1" t="s">
        <v>89</v>
      </c>
      <c r="B8" s="12">
        <f>Loan_FixedRate</f>
        <v/>
      </c>
      <c r="C8" s="1" t="s">
        <v>90</v>
      </c>
      <c r="D8" s="8"/>
      <c r="E8" s="1" t="s">
        <v>91</v>
      </c>
      <c r="F8" s="8" t="s">
        <v>93</v>
      </c>
    </row>
    <row r="9" spans="1:6" ht="24" customHeight="1">
      <c r="A9" s="1" t="s">
        <v>92</v>
      </c>
      <c r="B9" s="8" t="s">
        <v>82</v>
      </c>
    </row>
    <row r="11" spans="1:6" ht="24" customHeight="1">
      <c r="A11" s="7" t="s">
        <v>94</v>
      </c>
      <c r="B11" s="7"/>
      <c r="C11" s="7"/>
      <c r="D11" s="7" t="s">
        <v>95</v>
      </c>
      <c r="E11" s="7"/>
      <c r="F11" s="7"/>
    </row>
    <row r="12" spans="1:6" ht="24" customHeight="1">
      <c r="A12" s="7"/>
      <c r="B12" s="7"/>
      <c r="C12" s="7"/>
      <c r="D12" s="7"/>
      <c r="E12" s="7"/>
      <c r="F12" s="7"/>
    </row>
    <row r="14" spans="1:6" ht="24" customHeight="1">
      <c r="A14" s="6" t="s">
        <v>96</v>
      </c>
    </row>
    <row r="16" spans="1:6" ht="24" customHeight="1">
      <c r="A16" s="4" t="s">
        <v>97</v>
      </c>
      <c r="B16" s="4"/>
      <c r="C16" s="4"/>
      <c r="D16" s="4"/>
      <c r="E16" s="4"/>
      <c r="F16" s="4"/>
    </row>
    <row r="17" spans="1:6" ht="24" customHeight="1">
      <c r="A17" s="7" t="s">
        <v>98</v>
      </c>
      <c r="B17" s="7"/>
      <c r="C17" s="7"/>
      <c r="D17" s="7"/>
      <c r="E17" s="7"/>
      <c r="F17" s="7"/>
    </row>
    <row r="18" spans="1:6" ht="24" customHeight="1">
      <c r="A18" s="1" t="s">
        <v>89</v>
      </c>
      <c r="B18" s="12">
        <f>Loan_FixedRate</f>
        <v/>
      </c>
      <c r="C18" s="1" t="s">
        <v>90</v>
      </c>
      <c r="D18" s="8"/>
      <c r="E18" s="1" t="s">
        <v>91</v>
      </c>
      <c r="F18" s="8" t="s">
        <v>99</v>
      </c>
    </row>
    <row r="19" spans="1:6" ht="24" customHeight="1">
      <c r="A19" s="1" t="s">
        <v>92</v>
      </c>
      <c r="B19" s="8" t="s">
        <v>82</v>
      </c>
    </row>
    <row r="21" spans="1:6" ht="24" customHeight="1">
      <c r="A21" s="7" t="s">
        <v>94</v>
      </c>
      <c r="B21" s="7"/>
      <c r="C21" s="7"/>
      <c r="D21" s="7" t="s">
        <v>95</v>
      </c>
      <c r="E21" s="7"/>
      <c r="F21" s="7"/>
    </row>
    <row r="22" spans="1:6" ht="24" customHeight="1">
      <c r="A22" s="7"/>
      <c r="B22" s="7"/>
      <c r="C22" s="7"/>
      <c r="D22" s="7"/>
      <c r="E22" s="7"/>
      <c r="F22" s="7"/>
    </row>
    <row r="24" spans="1:6" ht="24" customHeight="1">
      <c r="A24" s="6" t="s">
        <v>96</v>
      </c>
    </row>
    <row r="26" spans="1:6" ht="24" customHeight="1">
      <c r="A26" s="4" t="s">
        <v>100</v>
      </c>
      <c r="B26" s="4"/>
      <c r="C26" s="4"/>
      <c r="D26" s="4"/>
      <c r="E26" s="4"/>
      <c r="F26" s="4"/>
    </row>
    <row r="27" spans="1:6" ht="24" customHeight="1">
      <c r="A27" s="7" t="s">
        <v>101</v>
      </c>
      <c r="B27" s="7"/>
      <c r="C27" s="7"/>
      <c r="D27" s="7"/>
      <c r="E27" s="7"/>
      <c r="F27" s="7"/>
    </row>
    <row r="28" spans="1:6" ht="24" customHeight="1">
      <c r="A28" s="1" t="s">
        <v>89</v>
      </c>
      <c r="B28" s="12">
        <f>Loan_FixedRate</f>
        <v/>
      </c>
      <c r="C28" s="1" t="s">
        <v>90</v>
      </c>
      <c r="D28" s="8"/>
      <c r="E28" s="1" t="s">
        <v>91</v>
      </c>
      <c r="F28" s="8" t="s">
        <v>102</v>
      </c>
    </row>
    <row r="29" spans="1:6" ht="24" customHeight="1">
      <c r="A29" s="1" t="s">
        <v>92</v>
      </c>
      <c r="B29" s="8" t="s">
        <v>82</v>
      </c>
    </row>
    <row r="31" spans="1:6" ht="24" customHeight="1">
      <c r="A31" s="5" t="s">
        <v>103</v>
      </c>
      <c r="B31" s="5" t="s">
        <v>45</v>
      </c>
      <c r="D31" s="7" t="s">
        <v>95</v>
      </c>
      <c r="E31" s="7"/>
      <c r="F31" s="7"/>
    </row>
    <row r="32" spans="1:6" ht="24" customHeight="1">
      <c r="A32" s="1" t="s">
        <v>104</v>
      </c>
      <c r="B32" s="12">
        <v>0.25</v>
      </c>
      <c r="D32" s="7"/>
      <c r="E32" s="7"/>
      <c r="F32" s="7"/>
    </row>
    <row r="34" spans="1:6" ht="24" customHeight="1">
      <c r="A34" s="6" t="s">
        <v>96</v>
      </c>
    </row>
    <row r="36" spans="1:6" ht="24" customHeight="1">
      <c r="A36" s="4" t="s">
        <v>105</v>
      </c>
      <c r="B36" s="4"/>
      <c r="C36" s="4"/>
      <c r="D36" s="4"/>
      <c r="E36" s="4"/>
      <c r="F36" s="4"/>
    </row>
    <row r="37" spans="1:6" ht="24" customHeight="1">
      <c r="A37" s="7" t="s">
        <v>106</v>
      </c>
      <c r="B37" s="7"/>
      <c r="C37" s="7"/>
      <c r="D37" s="7"/>
      <c r="E37" s="7"/>
      <c r="F37" s="7"/>
    </row>
    <row r="38" spans="1:6" ht="24" customHeight="1">
      <c r="A38" s="1" t="s">
        <v>89</v>
      </c>
      <c r="B38" s="12">
        <f>Loan_FloatingSpread</f>
        <v/>
      </c>
      <c r="C38" s="1" t="s">
        <v>90</v>
      </c>
      <c r="D38" s="8" t="s">
        <v>107</v>
      </c>
      <c r="E38" s="1" t="s">
        <v>91</v>
      </c>
      <c r="F38" s="8" t="s">
        <v>93</v>
      </c>
    </row>
    <row r="39" spans="1:6" ht="24" customHeight="1">
      <c r="A39" s="1" t="s">
        <v>92</v>
      </c>
      <c r="B39" s="8" t="s">
        <v>82</v>
      </c>
    </row>
    <row r="41" spans="1:6" ht="24" customHeight="1">
      <c r="A41" s="5" t="s">
        <v>103</v>
      </c>
      <c r="B41" s="5" t="s">
        <v>45</v>
      </c>
      <c r="D41" s="7" t="s">
        <v>95</v>
      </c>
      <c r="E41" s="7"/>
      <c r="F41" s="7"/>
    </row>
    <row r="42" spans="1:6" ht="24" customHeight="1">
      <c r="A42" s="1" t="s">
        <v>108</v>
      </c>
      <c r="B42" s="12">
        <v>0.05</v>
      </c>
      <c r="D42" s="7"/>
      <c r="E42" s="7"/>
      <c r="F42" s="7"/>
    </row>
    <row r="44" spans="1:6" ht="24" customHeight="1">
      <c r="A44" s="6" t="s">
        <v>96</v>
      </c>
    </row>
    <row r="46" spans="1:6" ht="24" customHeight="1">
      <c r="A46" s="4" t="s">
        <v>109</v>
      </c>
      <c r="B46" s="4"/>
      <c r="C46" s="4"/>
      <c r="D46" s="4"/>
      <c r="E46" s="4"/>
      <c r="F46" s="4"/>
    </row>
    <row r="47" spans="1:6" ht="24" customHeight="1">
      <c r="A47" s="7" t="s">
        <v>110</v>
      </c>
      <c r="B47" s="7"/>
      <c r="C47" s="7"/>
      <c r="D47" s="7"/>
      <c r="E47" s="7"/>
      <c r="F47" s="7"/>
    </row>
    <row r="48" spans="1:6" ht="24" customHeight="1">
      <c r="A48" s="1" t="s">
        <v>89</v>
      </c>
      <c r="B48" s="13">
        <f>E52</f>
        <v/>
      </c>
      <c r="C48" s="1" t="s">
        <v>90</v>
      </c>
      <c r="D48" s="1">
        <f>IF(F52="","",F52)</f>
        <v/>
      </c>
      <c r="E48" s="1" t="s">
        <v>91</v>
      </c>
      <c r="F48" s="8" t="s">
        <v>93</v>
      </c>
    </row>
    <row r="49" spans="1:6" ht="24" customHeight="1">
      <c r="A49" s="1" t="s">
        <v>92</v>
      </c>
      <c r="B49" s="8" t="s">
        <v>82</v>
      </c>
    </row>
    <row r="51" spans="1:6" ht="24" customHeight="1">
      <c r="A51" s="7" t="s">
        <v>94</v>
      </c>
      <c r="B51" s="7"/>
      <c r="C51" s="7"/>
      <c r="D51" s="5" t="s">
        <v>111</v>
      </c>
      <c r="E51" s="5" t="s">
        <v>112</v>
      </c>
      <c r="F51" s="5" t="s">
        <v>113</v>
      </c>
    </row>
    <row r="52" spans="1:6" ht="24" customHeight="1">
      <c r="A52" s="7"/>
      <c r="B52" s="7"/>
      <c r="C52" s="7"/>
      <c r="D52" s="8">
        <v>60</v>
      </c>
      <c r="E52" s="12">
        <v>0.04</v>
      </c>
      <c r="F52" s="8"/>
    </row>
    <row r="53" spans="1:6" ht="24" customHeight="1">
      <c r="D53" s="8"/>
      <c r="E53" s="12">
        <f>Loan_FloatingSpread</f>
        <v/>
      </c>
      <c r="F53" s="8" t="s">
        <v>107</v>
      </c>
    </row>
    <row r="56" spans="1:6" ht="24" customHeight="1">
      <c r="D56" s="7" t="s">
        <v>114</v>
      </c>
      <c r="E56" s="7"/>
      <c r="F56" s="7"/>
    </row>
    <row r="57" spans="1:6" ht="24" customHeight="1">
      <c r="D57" s="7"/>
      <c r="E57" s="7"/>
      <c r="F57" s="7"/>
    </row>
    <row r="58" spans="1:6" ht="24" customHeight="1">
      <c r="A58" s="6" t="s">
        <v>96</v>
      </c>
    </row>
    <row r="60" spans="1:6" ht="24" customHeight="1">
      <c r="A60" s="4" t="s">
        <v>115</v>
      </c>
      <c r="B60" s="4"/>
      <c r="C60" s="4"/>
      <c r="D60" s="4"/>
      <c r="E60" s="4"/>
      <c r="F60" s="4"/>
    </row>
    <row r="61" spans="1:6" ht="24" customHeight="1">
      <c r="A61" s="7" t="s">
        <v>116</v>
      </c>
      <c r="B61" s="7"/>
      <c r="C61" s="7"/>
      <c r="D61" s="7"/>
      <c r="E61" s="7"/>
      <c r="F61" s="7"/>
    </row>
    <row r="62" spans="1:6" ht="24" customHeight="1">
      <c r="A62" s="1" t="s">
        <v>89</v>
      </c>
      <c r="B62" s="12">
        <f>Loan_FloatingSpread</f>
        <v/>
      </c>
      <c r="C62" s="1" t="s">
        <v>90</v>
      </c>
      <c r="D62" s="8" t="s">
        <v>107</v>
      </c>
      <c r="E62" s="1" t="s">
        <v>91</v>
      </c>
      <c r="F62" s="8" t="s">
        <v>93</v>
      </c>
    </row>
    <row r="63" spans="1:6" ht="24" customHeight="1">
      <c r="A63" s="1" t="s">
        <v>92</v>
      </c>
      <c r="B63" s="8" t="s">
        <v>82</v>
      </c>
    </row>
    <row r="65" spans="1:6" ht="24" customHeight="1">
      <c r="A65" s="5" t="s">
        <v>103</v>
      </c>
      <c r="B65" s="5" t="s">
        <v>45</v>
      </c>
      <c r="D65" s="7" t="s">
        <v>95</v>
      </c>
      <c r="E65" s="7"/>
      <c r="F65" s="7"/>
    </row>
    <row r="66" spans="1:6" ht="24" customHeight="1">
      <c r="A66" s="1" t="s">
        <v>108</v>
      </c>
      <c r="B66" s="12">
        <v>0.05</v>
      </c>
      <c r="D66" s="7"/>
      <c r="E66" s="7"/>
      <c r="F66" s="7"/>
    </row>
    <row r="67" spans="1:6" ht="24" customHeight="1">
      <c r="A67" s="1" t="s">
        <v>117</v>
      </c>
      <c r="B67" s="12">
        <v>0.02</v>
      </c>
    </row>
    <row r="68" spans="1:6" ht="24" customHeight="1">
      <c r="A68" s="1" t="s">
        <v>118</v>
      </c>
      <c r="B68" s="12">
        <v>0.045</v>
      </c>
    </row>
    <row r="70" spans="1:6" ht="24" customHeight="1">
      <c r="A70" s="6" t="s">
        <v>96</v>
      </c>
    </row>
    <row r="72" spans="1:6" ht="24" customHeight="1">
      <c r="A72" s="4" t="s">
        <v>119</v>
      </c>
      <c r="B72" s="4"/>
      <c r="C72" s="4"/>
      <c r="D72" s="4"/>
      <c r="E72" s="4"/>
      <c r="F72" s="4"/>
    </row>
    <row r="73" spans="1:6" ht="24" customHeight="1">
      <c r="A73" s="7" t="s">
        <v>120</v>
      </c>
      <c r="B73" s="7"/>
      <c r="C73" s="7"/>
      <c r="D73" s="7"/>
      <c r="E73" s="7"/>
      <c r="F73" s="7"/>
    </row>
    <row r="74" spans="1:6" ht="24" customHeight="1">
      <c r="A74" s="1" t="s">
        <v>89</v>
      </c>
      <c r="B74" s="12">
        <f>Loan_FixedRate</f>
        <v/>
      </c>
      <c r="C74" s="1" t="s">
        <v>90</v>
      </c>
      <c r="D74" s="8"/>
      <c r="E74" s="1" t="s">
        <v>91</v>
      </c>
      <c r="F74" s="8" t="s">
        <v>93</v>
      </c>
    </row>
    <row r="75" spans="1:6" ht="24" customHeight="1">
      <c r="A75" s="1" t="s">
        <v>92</v>
      </c>
      <c r="B75" s="8" t="s">
        <v>82</v>
      </c>
    </row>
    <row r="77" spans="1:6" ht="24" customHeight="1">
      <c r="A77" s="5" t="s">
        <v>103</v>
      </c>
      <c r="B77" s="5" t="s">
        <v>45</v>
      </c>
      <c r="D77" s="7" t="s">
        <v>95</v>
      </c>
      <c r="E77" s="7"/>
      <c r="F77" s="7"/>
    </row>
    <row r="78" spans="1:6" ht="24" customHeight="1">
      <c r="A78" s="1" t="s">
        <v>121</v>
      </c>
      <c r="B78" s="12">
        <v>0.15</v>
      </c>
      <c r="D78" s="7"/>
      <c r="E78" s="7"/>
      <c r="F78" s="7"/>
    </row>
    <row r="80" spans="1:6" ht="24" customHeight="1">
      <c r="A80" s="6" t="s">
        <v>96</v>
      </c>
    </row>
    <row r="82" spans="1:6" ht="24" customHeight="1">
      <c r="A82" s="4" t="s">
        <v>122</v>
      </c>
      <c r="B82" s="4"/>
      <c r="C82" s="4"/>
      <c r="D82" s="4"/>
      <c r="E82" s="4"/>
      <c r="F82" s="4"/>
    </row>
    <row r="83" spans="1:6" ht="24" customHeight="1">
      <c r="A83" s="7" t="s">
        <v>123</v>
      </c>
      <c r="B83" s="7"/>
      <c r="C83" s="7"/>
      <c r="D83" s="7"/>
      <c r="E83" s="7"/>
      <c r="F83" s="7"/>
    </row>
    <row r="84" spans="1:6" ht="24" customHeight="1">
      <c r="A84" s="1" t="s">
        <v>89</v>
      </c>
      <c r="B84" s="12">
        <f>Loan_FixedRate</f>
        <v/>
      </c>
      <c r="C84" s="1" t="s">
        <v>90</v>
      </c>
      <c r="D84" s="8"/>
      <c r="E84" s="1" t="s">
        <v>91</v>
      </c>
      <c r="F84" s="8" t="s">
        <v>93</v>
      </c>
    </row>
    <row r="85" spans="1:6" ht="24" customHeight="1">
      <c r="A85" s="1" t="s">
        <v>92</v>
      </c>
      <c r="B85" s="8" t="s">
        <v>82</v>
      </c>
    </row>
    <row r="87" spans="1:6" ht="24" customHeight="1">
      <c r="A87" s="5" t="s">
        <v>103</v>
      </c>
      <c r="B87" s="5" t="s">
        <v>45</v>
      </c>
      <c r="D87" s="7" t="s">
        <v>95</v>
      </c>
      <c r="E87" s="7"/>
      <c r="F87" s="7"/>
    </row>
    <row r="88" spans="1:6" ht="24" customHeight="1">
      <c r="A88" s="1" t="s">
        <v>124</v>
      </c>
      <c r="B88" s="8" t="s">
        <v>125</v>
      </c>
      <c r="D88" s="7"/>
      <c r="E88" s="7"/>
      <c r="F88" s="7"/>
    </row>
    <row r="89" spans="1:6" ht="24" customHeight="1">
      <c r="A89" s="1" t="s">
        <v>126</v>
      </c>
      <c r="B89" s="12">
        <f>Loan_Recovery</f>
        <v/>
      </c>
    </row>
    <row r="91" spans="1:6" ht="24" customHeight="1">
      <c r="A91" s="6" t="s">
        <v>96</v>
      </c>
    </row>
    <row r="93" spans="1:6" ht="24" customHeight="1">
      <c r="A93" s="4" t="s">
        <v>127</v>
      </c>
      <c r="B93" s="4"/>
      <c r="C93" s="4"/>
      <c r="D93" s="4"/>
      <c r="E93" s="4"/>
      <c r="F93" s="4"/>
    </row>
    <row r="94" spans="1:6" ht="24" customHeight="1">
      <c r="A94" s="7" t="s">
        <v>128</v>
      </c>
      <c r="B94" s="7"/>
      <c r="C94" s="7"/>
      <c r="D94" s="7"/>
      <c r="E94" s="7"/>
      <c r="F94" s="7"/>
    </row>
    <row r="95" spans="1:6" ht="24" customHeight="1">
      <c r="A95" s="1" t="s">
        <v>89</v>
      </c>
      <c r="B95" s="12">
        <f>Loan_FixedRate</f>
        <v/>
      </c>
      <c r="C95" s="1" t="s">
        <v>90</v>
      </c>
      <c r="D95" s="8"/>
      <c r="E95" s="1" t="s">
        <v>91</v>
      </c>
      <c r="F95" s="8" t="s">
        <v>93</v>
      </c>
    </row>
    <row r="96" spans="1:6" ht="24" customHeight="1">
      <c r="A96" s="1" t="s">
        <v>92</v>
      </c>
      <c r="B96" s="8" t="s">
        <v>83</v>
      </c>
    </row>
    <row r="98" spans="1:6" ht="24" customHeight="1">
      <c r="A98" s="7" t="s">
        <v>94</v>
      </c>
      <c r="B98" s="7"/>
      <c r="C98" s="7"/>
      <c r="D98" s="7" t="s">
        <v>95</v>
      </c>
      <c r="E98" s="7"/>
      <c r="F98" s="7"/>
    </row>
    <row r="99" spans="1:6" ht="24" customHeight="1">
      <c r="A99" s="7"/>
      <c r="B99" s="7"/>
      <c r="C99" s="7"/>
      <c r="D99" s="7"/>
      <c r="E99" s="7"/>
      <c r="F99" s="7"/>
    </row>
    <row r="101" spans="1:6" ht="24" customHeight="1">
      <c r="A101" s="6" t="s">
        <v>96</v>
      </c>
    </row>
    <row r="103" spans="1:6" ht="24" customHeight="1">
      <c r="A103" s="4" t="s">
        <v>129</v>
      </c>
      <c r="B103" s="4"/>
      <c r="C103" s="4"/>
      <c r="D103" s="4"/>
      <c r="E103" s="4"/>
      <c r="F103" s="4"/>
    </row>
    <row r="104" spans="1:6" ht="24" customHeight="1">
      <c r="A104" s="7" t="s">
        <v>130</v>
      </c>
      <c r="B104" s="7"/>
      <c r="C104" s="7"/>
      <c r="D104" s="7"/>
      <c r="E104" s="7"/>
      <c r="F104" s="7"/>
    </row>
    <row r="105" spans="1:6" ht="24" customHeight="1">
      <c r="A105" s="1" t="s">
        <v>89</v>
      </c>
      <c r="B105" s="12">
        <f>Loan_FloatingSpread</f>
        <v/>
      </c>
      <c r="C105" s="1" t="s">
        <v>90</v>
      </c>
      <c r="D105" s="8" t="s">
        <v>107</v>
      </c>
      <c r="E105" s="1" t="s">
        <v>91</v>
      </c>
      <c r="F105" s="8" t="s">
        <v>93</v>
      </c>
    </row>
    <row r="106" spans="1:6" ht="24" customHeight="1">
      <c r="A106" s="1" t="s">
        <v>92</v>
      </c>
      <c r="B106" s="8" t="s">
        <v>83</v>
      </c>
    </row>
    <row r="108" spans="1:6" ht="24" customHeight="1">
      <c r="A108" s="5" t="s">
        <v>103</v>
      </c>
      <c r="B108" s="5" t="s">
        <v>45</v>
      </c>
      <c r="D108" s="7" t="s">
        <v>95</v>
      </c>
      <c r="E108" s="7"/>
      <c r="F108" s="7"/>
    </row>
    <row r="109" spans="1:6" ht="24" customHeight="1">
      <c r="A109" s="1" t="s">
        <v>108</v>
      </c>
      <c r="B109" s="12">
        <v>0.05</v>
      </c>
      <c r="D109" s="7"/>
      <c r="E109" s="7"/>
      <c r="F109" s="7"/>
    </row>
    <row r="111" spans="1:6" ht="24" customHeight="1">
      <c r="A111" s="6" t="s">
        <v>96</v>
      </c>
    </row>
    <row r="113" spans="1:6" ht="24" customHeight="1">
      <c r="A113" s="4" t="s">
        <v>131</v>
      </c>
      <c r="B113" s="4"/>
      <c r="C113" s="4"/>
      <c r="D113" s="4"/>
      <c r="E113" s="4"/>
      <c r="F113" s="4"/>
    </row>
    <row r="114" spans="1:6" ht="24" customHeight="1">
      <c r="A114" s="7" t="s">
        <v>132</v>
      </c>
      <c r="B114" s="7"/>
      <c r="C114" s="7"/>
      <c r="D114" s="7"/>
      <c r="E114" s="7"/>
      <c r="F114" s="7"/>
    </row>
    <row r="115" spans="1:6" ht="24" customHeight="1">
      <c r="A115" s="1" t="s">
        <v>89</v>
      </c>
      <c r="B115" s="13">
        <f>E119</f>
        <v/>
      </c>
      <c r="C115" s="1" t="s">
        <v>90</v>
      </c>
      <c r="D115" s="1">
        <f>IF(F119="","",F119)</f>
        <v/>
      </c>
      <c r="E115" s="1" t="s">
        <v>91</v>
      </c>
      <c r="F115" s="8" t="s">
        <v>93</v>
      </c>
    </row>
    <row r="116" spans="1:6" ht="24" customHeight="1">
      <c r="A116" s="1" t="s">
        <v>92</v>
      </c>
      <c r="B116" s="8" t="s">
        <v>82</v>
      </c>
    </row>
    <row r="118" spans="1:6" ht="24" customHeight="1">
      <c r="A118" s="7" t="s">
        <v>94</v>
      </c>
      <c r="B118" s="7"/>
      <c r="C118" s="7"/>
      <c r="D118" s="5" t="s">
        <v>111</v>
      </c>
      <c r="E118" s="5" t="s">
        <v>112</v>
      </c>
      <c r="F118" s="5" t="s">
        <v>113</v>
      </c>
    </row>
    <row r="119" spans="1:6" ht="24" customHeight="1">
      <c r="A119" s="7"/>
      <c r="B119" s="7"/>
      <c r="C119" s="7"/>
      <c r="D119" s="8">
        <v>60</v>
      </c>
      <c r="E119" s="12">
        <v>0.03</v>
      </c>
      <c r="F119" s="8"/>
    </row>
    <row r="120" spans="1:6" ht="24" customHeight="1">
      <c r="D120" s="8">
        <v>60</v>
      </c>
      <c r="E120" s="12">
        <v>0.04</v>
      </c>
      <c r="F120" s="8"/>
    </row>
    <row r="121" spans="1:6" ht="24" customHeight="1">
      <c r="D121" s="8"/>
      <c r="E121" s="12">
        <v>0.05</v>
      </c>
      <c r="F121" s="8"/>
    </row>
    <row r="123" spans="1:6" ht="24" customHeight="1">
      <c r="D123" s="7" t="s">
        <v>114</v>
      </c>
      <c r="E123" s="7"/>
      <c r="F123" s="7"/>
    </row>
    <row r="124" spans="1:6" ht="24" customHeight="1">
      <c r="D124" s="7"/>
      <c r="E124" s="7"/>
      <c r="F124" s="7"/>
    </row>
    <row r="125" spans="1:6" ht="24" customHeight="1">
      <c r="A125" s="6" t="s">
        <v>96</v>
      </c>
    </row>
    <row r="127" spans="1:6" ht="24" customHeight="1">
      <c r="A127" s="4" t="s">
        <v>133</v>
      </c>
      <c r="B127" s="4"/>
      <c r="C127" s="4"/>
      <c r="D127" s="4"/>
      <c r="E127" s="4"/>
      <c r="F127" s="4"/>
    </row>
    <row r="128" spans="1:6" ht="24" customHeight="1">
      <c r="A128" s="7" t="s">
        <v>134</v>
      </c>
      <c r="B128" s="7"/>
      <c r="C128" s="7"/>
      <c r="D128" s="7"/>
      <c r="E128" s="7"/>
      <c r="F128" s="7"/>
    </row>
    <row r="129" spans="1:6" ht="24" customHeight="1">
      <c r="A129" s="1" t="s">
        <v>89</v>
      </c>
      <c r="B129" s="13">
        <f>E133</f>
        <v/>
      </c>
      <c r="C129" s="1" t="s">
        <v>90</v>
      </c>
      <c r="D129" s="1">
        <f>IF(F133="","",F133)</f>
        <v/>
      </c>
      <c r="E129" s="1" t="s">
        <v>91</v>
      </c>
      <c r="F129" s="8" t="s">
        <v>93</v>
      </c>
    </row>
    <row r="130" spans="1:6" ht="24" customHeight="1">
      <c r="A130" s="1" t="s">
        <v>92</v>
      </c>
      <c r="B130" s="8" t="s">
        <v>82</v>
      </c>
    </row>
    <row r="132" spans="1:6" ht="24" customHeight="1">
      <c r="A132" s="7" t="s">
        <v>94</v>
      </c>
      <c r="B132" s="7"/>
      <c r="C132" s="7"/>
      <c r="D132" s="5" t="s">
        <v>111</v>
      </c>
      <c r="E132" s="5" t="s">
        <v>112</v>
      </c>
      <c r="F132" s="5" t="s">
        <v>113</v>
      </c>
    </row>
    <row r="133" spans="1:6" ht="24" customHeight="1">
      <c r="A133" s="7"/>
      <c r="B133" s="7"/>
      <c r="C133" s="7"/>
      <c r="D133" s="8">
        <v>60</v>
      </c>
      <c r="E133" s="12">
        <v>0.03</v>
      </c>
      <c r="F133" s="8"/>
    </row>
    <row r="134" spans="1:6" ht="24" customHeight="1">
      <c r="D134" s="8">
        <v>60</v>
      </c>
      <c r="E134" s="12">
        <v>0.04</v>
      </c>
      <c r="F134" s="8"/>
    </row>
    <row r="135" spans="1:6" ht="24" customHeight="1">
      <c r="D135" s="8"/>
      <c r="E135" s="12">
        <v>0.01</v>
      </c>
      <c r="F135" s="8" t="s">
        <v>107</v>
      </c>
    </row>
    <row r="137" spans="1:6" ht="24" customHeight="1">
      <c r="D137" s="7" t="s">
        <v>114</v>
      </c>
      <c r="E137" s="7"/>
      <c r="F137" s="7"/>
    </row>
    <row r="138" spans="1:6" ht="24" customHeight="1">
      <c r="D138" s="7"/>
      <c r="E138" s="7"/>
      <c r="F138" s="7"/>
    </row>
    <row r="139" spans="1:6" ht="24" customHeight="1">
      <c r="A139" s="6" t="s">
        <v>96</v>
      </c>
    </row>
  </sheetData>
  <mergeCells count="44">
    <mergeCell ref="A1:F1"/>
    <mergeCell ref="A2:F3"/>
    <mergeCell ref="A6:F6"/>
    <mergeCell ref="A7:F7"/>
    <mergeCell ref="A11:C12"/>
    <mergeCell ref="D11:F12"/>
    <mergeCell ref="A16:F16"/>
    <mergeCell ref="A17:F17"/>
    <mergeCell ref="A21:C22"/>
    <mergeCell ref="D21:F22"/>
    <mergeCell ref="A26:F26"/>
    <mergeCell ref="A27:F27"/>
    <mergeCell ref="D31:F32"/>
    <mergeCell ref="A36:F36"/>
    <mergeCell ref="A37:F37"/>
    <mergeCell ref="D41:F42"/>
    <mergeCell ref="A46:F46"/>
    <mergeCell ref="A47:F47"/>
    <mergeCell ref="A51:C52"/>
    <mergeCell ref="D56:F57"/>
    <mergeCell ref="A60:F60"/>
    <mergeCell ref="A61:F61"/>
    <mergeCell ref="D65:F66"/>
    <mergeCell ref="A72:F72"/>
    <mergeCell ref="A73:F73"/>
    <mergeCell ref="D77:F78"/>
    <mergeCell ref="A82:F82"/>
    <mergeCell ref="A83:F83"/>
    <mergeCell ref="D87:F88"/>
    <mergeCell ref="A93:F93"/>
    <mergeCell ref="A94:F94"/>
    <mergeCell ref="A98:C99"/>
    <mergeCell ref="D98:F99"/>
    <mergeCell ref="A103:F103"/>
    <mergeCell ref="A104:F104"/>
    <mergeCell ref="D108:F109"/>
    <mergeCell ref="A113:F113"/>
    <mergeCell ref="A114:F114"/>
    <mergeCell ref="A118:C119"/>
    <mergeCell ref="D123:F124"/>
    <mergeCell ref="A127:F127"/>
    <mergeCell ref="A128:F128"/>
    <mergeCell ref="A132:C133"/>
    <mergeCell ref="D137:F138"/>
  </mergeCells>
  <dataValidations count="24">
    <dataValidation type="list" allowBlank="1" showInputMessage="1" showErrorMessage="1" sqref="B9">
      <formula1>"ESTR,FUNDING"</formula1>
    </dataValidation>
    <dataValidation type="list" allowBlank="1" showInputMessage="1" showErrorMessage="1" sqref="F8">
      <formula1>"French,Bullet,Balloon"</formula1>
    </dataValidation>
    <dataValidation type="list" allowBlank="1" showInputMessage="1" showErrorMessage="1" sqref="B19">
      <formula1>"ESTR,FUNDING"</formula1>
    </dataValidation>
    <dataValidation type="list" allowBlank="1" showInputMessage="1" showErrorMessage="1" sqref="F18">
      <formula1>"French,Bullet,Balloon"</formula1>
    </dataValidation>
    <dataValidation type="list" allowBlank="1" showInputMessage="1" showErrorMessage="1" sqref="B29">
      <formula1>"ESTR,FUNDING"</formula1>
    </dataValidation>
    <dataValidation type="list" allowBlank="1" showInputMessage="1" showErrorMessage="1" sqref="F28">
      <formula1>"French,Bullet,Balloon"</formula1>
    </dataValidation>
    <dataValidation type="list" allowBlank="1" showInputMessage="1" showErrorMessage="1" sqref="B39">
      <formula1>"ESTR,FUNDING"</formula1>
    </dataValidation>
    <dataValidation type="list" allowBlank="1" showInputMessage="1" showErrorMessage="1" sqref="F38">
      <formula1>"French,Bullet,Balloon"</formula1>
    </dataValidation>
    <dataValidation type="list" allowBlank="1" showInputMessage="1" showErrorMessage="1" sqref="B49">
      <formula1>"ESTR,FUNDING"</formula1>
    </dataValidation>
    <dataValidation type="list" allowBlank="1" showInputMessage="1" showErrorMessage="1" sqref="F48">
      <formula1>"French,Bullet,Balloon"</formula1>
    </dataValidation>
    <dataValidation type="list" allowBlank="1" showInputMessage="1" showErrorMessage="1" sqref="B63">
      <formula1>"ESTR,FUNDING"</formula1>
    </dataValidation>
    <dataValidation type="list" allowBlank="1" showInputMessage="1" showErrorMessage="1" sqref="F62">
      <formula1>"French,Bullet,Balloon"</formula1>
    </dataValidation>
    <dataValidation type="list" allowBlank="1" showInputMessage="1" showErrorMessage="1" sqref="B75">
      <formula1>"ESTR,FUNDING"</formula1>
    </dataValidation>
    <dataValidation type="list" allowBlank="1" showInputMessage="1" showErrorMessage="1" sqref="F74">
      <formula1>"French,Bullet,Balloon"</formula1>
    </dataValidation>
    <dataValidation type="list" allowBlank="1" showInputMessage="1" showErrorMessage="1" sqref="B85">
      <formula1>"ESTR,FUNDING"</formula1>
    </dataValidation>
    <dataValidation type="list" allowBlank="1" showInputMessage="1" showErrorMessage="1" sqref="F84">
      <formula1>"French,Bullet,Balloon"</formula1>
    </dataValidation>
    <dataValidation type="list" allowBlank="1" showInputMessage="1" showErrorMessage="1" sqref="B96">
      <formula1>"ESTR,FUNDING"</formula1>
    </dataValidation>
    <dataValidation type="list" allowBlank="1" showInputMessage="1" showErrorMessage="1" sqref="F95">
      <formula1>"French,Bullet,Balloon"</formula1>
    </dataValidation>
    <dataValidation type="list" allowBlank="1" showInputMessage="1" showErrorMessage="1" sqref="B106">
      <formula1>"ESTR,FUNDING"</formula1>
    </dataValidation>
    <dataValidation type="list" allowBlank="1" showInputMessage="1" showErrorMessage="1" sqref="F105">
      <formula1>"French,Bullet,Balloon"</formula1>
    </dataValidation>
    <dataValidation type="list" allowBlank="1" showInputMessage="1" showErrorMessage="1" sqref="B116">
      <formula1>"ESTR,FUNDING"</formula1>
    </dataValidation>
    <dataValidation type="list" allowBlank="1" showInputMessage="1" showErrorMessage="1" sqref="F115">
      <formula1>"French,Bullet,Balloon"</formula1>
    </dataValidation>
    <dataValidation type="list" allowBlank="1" showInputMessage="1" showErrorMessage="1" sqref="B130">
      <formula1>"ESTR,FUNDING"</formula1>
    </dataValidation>
    <dataValidation type="list" allowBlank="1" showInputMessage="1" showErrorMessage="1" sqref="F129">
      <formula1>"French,Bullet,Balloon"</formula1>
    </dataValidation>
  </dataValidations>
  <hyperlinks>
    <hyperlink ref="A4" location="'Start Here'!A1" display="← Start Here"/>
    <hyperlink ref="F4" location="'3 Market'!A1" display="Next → 3 Market"/>
    <hyperlink ref="A14" location="'5 Results'!A7" display="See this case's results →"/>
    <hyperlink ref="A24" location="'5 Results'!A8" display="See this case's results →"/>
    <hyperlink ref="A34" location="'5 Results'!A9" display="See this case's results →"/>
    <hyperlink ref="A44" location="'5 Results'!A10" display="See this case's results →"/>
    <hyperlink ref="A58" location="'5 Results'!A11" display="See this case's results →"/>
    <hyperlink ref="A70" location="'5 Results'!A12" display="See this case's results →"/>
    <hyperlink ref="A80" location="'5 Results'!A13" display="See this case's results →"/>
    <hyperlink ref="A91" location="'5 Results'!A14" display="See this case's results →"/>
    <hyperlink ref="A101" location="'5 Results'!A15" display="See this case's results →"/>
    <hyperlink ref="A111" location="'5 Results'!A16" display="See this case's results →"/>
    <hyperlink ref="A125" location="'5 Results'!A17" display="See this case's results →"/>
    <hyperlink ref="A139" location="'5 Results'!A18" display="See this case's results →"/>
  </hyperlinks>
  <pageMargins left="0.3" right="0.3" top="0.4" bottom="0.4" header="0.3" footer="0.3"/>
  <pageSetup paperSize="9" fitToHeight="0" orientation="landscape"/>
  <headerFooter>
    <oddFooter>&amp;LQuantSupport&amp;CCase inputs · one block per agreement&amp;R&amp;P / &amp;N</oddFooter>
  </headerFooter>
</worksheet>
</file>

<file path=xl/worksheets/sheet4.xml><?xml version="1.0" encoding="utf-8"?>
<worksheet xmlns="http://schemas.openxmlformats.org/spreadsheetml/2006/main" xmlns:r="http://schemas.openxmlformats.org/officeDocument/2006/relationships">
  <sheetPr>
    <tabColor rgb="FF337AB7"/>
    <pageSetUpPr fitToPage="1"/>
  </sheetPr>
  <dimension ref="A1:D75"/>
  <sheetViews>
    <sheetView showGridLines="0" zoomScale="85" zoomScaleNormal="85" workbookViewId="0">
      <pane xSplit="1" ySplit="6" topLeftCell="B7" activePane="bottomRight" state="frozen"/>
      <selection pane="topRight" activeCell="B1" sqref="B1"/>
      <selection pane="bottomLeft" activeCell="A7" sqref="A7"/>
      <selection pane="bottomRight"/>
    </sheetView>
  </sheetViews>
  <sheetFormatPr defaultRowHeight="24" customHeight="1"/>
  <cols>
    <col min="1" max="1" width="38.7109375" style="1" customWidth="1"/>
    <col min="2" max="2" width="42.7109375" style="1" customWidth="1"/>
    <col min="3" max="3" width="36.7109375" style="1" customWidth="1"/>
    <col min="4" max="4" width="24.7109375" style="1" customWidth="1"/>
  </cols>
  <sheetData>
    <row r="1" spans="1:4" ht="38.25" customHeight="1">
      <c r="A1" s="2" t="s">
        <v>135</v>
      </c>
      <c r="B1" s="2"/>
      <c r="C1" s="2"/>
      <c r="D1" s="2"/>
    </row>
    <row r="2" spans="1:4" ht="24" customHeight="1">
      <c r="A2" s="3" t="s">
        <v>136</v>
      </c>
      <c r="B2" s="3"/>
      <c r="C2" s="3"/>
      <c r="D2" s="3"/>
    </row>
    <row r="3" spans="1:4" ht="24" customHeight="1">
      <c r="A3" s="3"/>
      <c r="B3" s="3"/>
      <c r="C3" s="3"/>
      <c r="D3" s="3"/>
    </row>
    <row r="4" spans="1:4" ht="36" customHeight="1">
      <c r="A4" s="6" t="s">
        <v>42</v>
      </c>
      <c r="D4" s="6" t="s">
        <v>137</v>
      </c>
    </row>
    <row r="6" spans="1:4" ht="36" customHeight="1">
      <c r="A6" s="5" t="s">
        <v>138</v>
      </c>
      <c r="B6" s="5" t="s">
        <v>139</v>
      </c>
      <c r="C6" s="5" t="s">
        <v>140</v>
      </c>
      <c r="D6" s="5" t="s">
        <v>141</v>
      </c>
    </row>
    <row r="7" spans="1:4" ht="24" customHeight="1">
      <c r="A7" s="8" t="s">
        <v>142</v>
      </c>
      <c r="B7" s="12">
        <v>0.03</v>
      </c>
      <c r="C7" s="12">
        <v>0.04</v>
      </c>
      <c r="D7" s="12">
        <v>0.005</v>
      </c>
    </row>
    <row r="8" spans="1:4" ht="24" customHeight="1">
      <c r="A8" s="8" t="s">
        <v>143</v>
      </c>
      <c r="B8" s="12">
        <v>0.03</v>
      </c>
      <c r="C8" s="12">
        <v>0.037</v>
      </c>
      <c r="D8" s="12">
        <v>0.01</v>
      </c>
    </row>
    <row r="9" spans="1:4" ht="24" customHeight="1">
      <c r="A9" s="8" t="s">
        <v>144</v>
      </c>
      <c r="B9" s="12">
        <v>0.032</v>
      </c>
      <c r="C9" s="12">
        <v>0.04</v>
      </c>
      <c r="D9" s="12">
        <v>0.011</v>
      </c>
    </row>
    <row r="10" spans="1:4" ht="24" customHeight="1">
      <c r="A10" s="8" t="s">
        <v>145</v>
      </c>
      <c r="B10" s="12">
        <v>0.034</v>
      </c>
      <c r="C10" s="12">
        <v>0.0415</v>
      </c>
      <c r="D10" s="12">
        <v>0.014</v>
      </c>
    </row>
    <row r="11" spans="1:4" ht="24" customHeight="1">
      <c r="A11" s="8" t="s">
        <v>146</v>
      </c>
      <c r="B11" s="12">
        <v>0.035</v>
      </c>
      <c r="C11" s="12">
        <v>0.0415</v>
      </c>
      <c r="D11" s="12">
        <v>0.015</v>
      </c>
    </row>
    <row r="13" spans="1:4" ht="24" customHeight="1">
      <c r="A13" s="7" t="s">
        <v>147</v>
      </c>
      <c r="B13" s="7"/>
      <c r="C13" s="7"/>
      <c r="D13" s="7"/>
    </row>
    <row r="14" spans="1:4" ht="24" customHeight="1">
      <c r="A14" s="7"/>
      <c r="B14" s="7"/>
      <c r="C14" s="7"/>
      <c r="D14" s="7"/>
    </row>
    <row r="17" spans="1:4" ht="36" customHeight="1">
      <c r="A17" s="5" t="s">
        <v>148</v>
      </c>
      <c r="B17" s="5" t="s">
        <v>149</v>
      </c>
      <c r="C17" s="5"/>
      <c r="D17" s="5"/>
    </row>
    <row r="18" spans="1:4" ht="24" customHeight="1">
      <c r="A18" s="1" t="s">
        <v>150</v>
      </c>
      <c r="B18" s="12">
        <v>0.005</v>
      </c>
    </row>
    <row r="19" spans="1:4" ht="24" customHeight="1">
      <c r="A19" s="1" t="s">
        <v>151</v>
      </c>
      <c r="B19" s="12">
        <v>0.007</v>
      </c>
    </row>
    <row r="20" spans="1:4" ht="24" customHeight="1">
      <c r="A20" s="1" t="s">
        <v>152</v>
      </c>
      <c r="B20" s="12">
        <v>0.008999999999999999</v>
      </c>
    </row>
    <row r="21" spans="1:4" ht="24" customHeight="1">
      <c r="A21" s="1" t="s">
        <v>153</v>
      </c>
      <c r="B21" s="12">
        <v>0.011</v>
      </c>
    </row>
    <row r="22" spans="1:4" ht="24" customHeight="1">
      <c r="A22" s="1" t="s">
        <v>154</v>
      </c>
      <c r="B22" s="12">
        <v>0.014</v>
      </c>
    </row>
    <row r="23" spans="1:4" ht="24" customHeight="1">
      <c r="A23" s="1" t="s">
        <v>155</v>
      </c>
      <c r="B23" s="12">
        <v>0.016</v>
      </c>
    </row>
    <row r="24" spans="1:4" ht="24" customHeight="1">
      <c r="A24" s="1" t="s">
        <v>156</v>
      </c>
      <c r="B24" s="12">
        <v>0.017</v>
      </c>
    </row>
    <row r="27" spans="1:4" ht="32.25" customHeight="1">
      <c r="A27" s="1" t="s">
        <v>157</v>
      </c>
      <c r="B27" s="12">
        <v>0.4</v>
      </c>
      <c r="C27" s="7" t="s">
        <v>158</v>
      </c>
    </row>
    <row r="31" spans="1:4" ht="36" customHeight="1">
      <c r="A31" s="5" t="s">
        <v>159</v>
      </c>
      <c r="B31" s="5" t="s">
        <v>160</v>
      </c>
      <c r="C31" s="5" t="s">
        <v>161</v>
      </c>
    </row>
    <row r="32" spans="1:4" ht="38.25" customHeight="1">
      <c r="A32" s="4" t="s">
        <v>162</v>
      </c>
      <c r="B32" s="10" cm="1" t="str">
        <f t="array" ref="B32">_xll.QS.QUOTES.CREATE("Loan.Quotes",Loan_ValuationDate)</f>
        <v/>
      </c>
      <c r="C32" s="7" t="s">
        <v>163</v>
      </c>
    </row>
    <row r="33" spans="1:3" ht="33.75" customHeight="1">
      <c r="A33" s="14" t="str">
        <f>SUBSTITUTE(_xlfn.FORMULATEXT(B32),",",", ")</f>
        <v>=QS.QUOTES.CREATE("Loan.Quotes", Loan_ValuationDate)</v>
      </c>
      <c r="B33" s="14"/>
      <c r="C33" s="14"/>
    </row>
    <row r="35" spans="1:3" ht="38.25" customHeight="1">
      <c r="A35" s="4" t="s">
        <v>164</v>
      </c>
      <c r="B35" s="10" cm="1" t="str">
        <f t="array" ref="B35">_xll.QS.QUOTES.SET(Loan_InitialQuotes,'3 Market'!A18,'3 Market'!B18,,)</f>
        <v/>
      </c>
      <c r="C35" s="7" t="s">
        <v>165</v>
      </c>
    </row>
    <row r="36" spans="1:3" ht="33.75" customHeight="1">
      <c r="A36" s="14" t="str">
        <f>SUBSTITUTE(_xlfn.FORMULATEXT(B35),",",", ")</f>
        <v>=QS.QUOTES.SET(Loan_InitialQuotes, '3 Market'!A18, '3 Market'!B18, , )</v>
      </c>
      <c r="B36" s="14"/>
      <c r="C36" s="14"/>
    </row>
    <row r="38" spans="1:3" ht="38.25" customHeight="1">
      <c r="A38" s="4" t="s">
        <v>166</v>
      </c>
      <c r="B38" s="10" cm="1" t="str">
        <f t="array" ref="B38">_xll.QS.QUOTES.SET(Loan_CreditQuote1,'3 Market'!A19,'3 Market'!B19,,)</f>
        <v/>
      </c>
      <c r="C38" s="7" t="s">
        <v>165</v>
      </c>
    </row>
    <row r="39" spans="1:3" ht="33.75" customHeight="1">
      <c r="A39" s="14" t="str">
        <f>SUBSTITUTE(_xlfn.FORMULATEXT(B38),",",", ")</f>
        <v>=QS.QUOTES.SET(Loan_CreditQuote1, '3 Market'!A19, '3 Market'!B19, , )</v>
      </c>
      <c r="B39" s="14"/>
      <c r="C39" s="14"/>
    </row>
    <row r="41" spans="1:3" ht="38.25" customHeight="1">
      <c r="A41" s="4" t="s">
        <v>167</v>
      </c>
      <c r="B41" s="10" cm="1" t="str">
        <f t="array" ref="B41">_xll.QS.QUOTES.SET(Loan_CreditQuote2,'3 Market'!A20,'3 Market'!B20,,)</f>
        <v/>
      </c>
      <c r="C41" s="7" t="s">
        <v>165</v>
      </c>
    </row>
    <row r="42" spans="1:3" ht="33.75" customHeight="1">
      <c r="A42" s="14" t="str">
        <f>SUBSTITUTE(_xlfn.FORMULATEXT(B41),",",", ")</f>
        <v>=QS.QUOTES.SET(Loan_CreditQuote2, '3 Market'!A20, '3 Market'!B20, , )</v>
      </c>
      <c r="B42" s="14"/>
      <c r="C42" s="14"/>
    </row>
    <row r="44" spans="1:3" ht="38.25" customHeight="1">
      <c r="A44" s="4" t="s">
        <v>168</v>
      </c>
      <c r="B44" s="10" cm="1" t="str">
        <f t="array" ref="B44">_xll.QS.QUOTES.SET(Loan_CreditQuote3,'3 Market'!A21,'3 Market'!B21,,)</f>
        <v/>
      </c>
      <c r="C44" s="7" t="s">
        <v>165</v>
      </c>
    </row>
    <row r="45" spans="1:3" ht="33.75" customHeight="1">
      <c r="A45" s="14" t="str">
        <f>SUBSTITUTE(_xlfn.FORMULATEXT(B44),",",", ")</f>
        <v>=QS.QUOTES.SET(Loan_CreditQuote3, '3 Market'!A21, '3 Market'!B21, , )</v>
      </c>
      <c r="B45" s="14"/>
      <c r="C45" s="14"/>
    </row>
    <row r="47" spans="1:3" ht="38.25" customHeight="1">
      <c r="A47" s="4" t="s">
        <v>169</v>
      </c>
      <c r="B47" s="10" cm="1" t="str">
        <f t="array" ref="B47">_xll.QS.QUOTES.SET(Loan_CreditQuote4,'3 Market'!A22,'3 Market'!B22,,)</f>
        <v/>
      </c>
      <c r="C47" s="7" t="s">
        <v>165</v>
      </c>
    </row>
    <row r="48" spans="1:3" ht="33.75" customHeight="1">
      <c r="A48" s="14" t="str">
        <f>SUBSTITUTE(_xlfn.FORMULATEXT(B47),",",", ")</f>
        <v>=QS.QUOTES.SET(Loan_CreditQuote4, '3 Market'!A22, '3 Market'!B22, , )</v>
      </c>
      <c r="B48" s="14"/>
      <c r="C48" s="14"/>
    </row>
    <row r="50" spans="1:3" ht="38.25" customHeight="1">
      <c r="A50" s="4" t="s">
        <v>170</v>
      </c>
      <c r="B50" s="10" cm="1" t="str">
        <f t="array" ref="B50">_xll.QS.QUOTES.SET(Loan_CreditQuote5,'3 Market'!A23,'3 Market'!B23,,)</f>
        <v/>
      </c>
      <c r="C50" s="7" t="s">
        <v>165</v>
      </c>
    </row>
    <row r="51" spans="1:3" ht="33.75" customHeight="1">
      <c r="A51" s="14" t="str">
        <f>SUBSTITUTE(_xlfn.FORMULATEXT(B50),",",", ")</f>
        <v>=QS.QUOTES.SET(Loan_CreditQuote5, '3 Market'!A23, '3 Market'!B23, , )</v>
      </c>
      <c r="B51" s="14"/>
      <c r="C51" s="14"/>
    </row>
    <row r="53" spans="1:3" ht="38.25" customHeight="1">
      <c r="A53" s="4" t="s">
        <v>171</v>
      </c>
      <c r="B53" s="10" cm="1" t="str">
        <f t="array" ref="B53">_xll.QS.QUOTES.SET(Loan_CreditQuote6,'3 Market'!A24,'3 Market'!B24,,)</f>
        <v/>
      </c>
      <c r="C53" s="7" t="s">
        <v>165</v>
      </c>
    </row>
    <row r="54" spans="1:3" ht="33.75" customHeight="1">
      <c r="A54" s="14" t="str">
        <f>SUBSTITUTE(_xlfn.FORMULATEXT(B53),",",", ")</f>
        <v>=QS.QUOTES.SET(Loan_CreditQuote6, '3 Market'!A24, '3 Market'!B24, , )</v>
      </c>
      <c r="B54" s="14"/>
      <c r="C54" s="14"/>
    </row>
    <row r="56" spans="1:3" ht="38.25" customHeight="1">
      <c r="A56" s="4" t="s">
        <v>172</v>
      </c>
      <c r="B56" s="10" cm="1" t="str">
        <f t="array" ref="B56">_xll.QS.CURVE.CONFIGS.CREATE("Loan.Curves")</f>
        <v/>
      </c>
      <c r="C56" s="7" t="s">
        <v>173</v>
      </c>
    </row>
    <row r="57" spans="1:3" ht="33.75" customHeight="1">
      <c r="A57" s="14" t="str">
        <f>SUBSTITUTE(_xlfn.FORMULATEXT(B56),",",", ")</f>
        <v>=QS.CURVE.CONFIGS.CREATE("Loan.Curves")</v>
      </c>
      <c r="B57" s="14"/>
      <c r="C57" s="14"/>
    </row>
    <row r="59" spans="1:3" ht="38.25" customHeight="1">
      <c r="A59" s="4" t="s">
        <v>174</v>
      </c>
      <c r="B59" s="10" cm="1" t="str">
        <f t="array" ref="B59">_xll.QS.CURVE.CONFIGS.ADD.ZERO(Loan_InitialCurves,"ESTR","Actual360","Linear",TRUE,Loan_Pillars,Loan_ZeroRates,"Continuous","Annual")</f>
        <v/>
      </c>
      <c r="C59" s="7" t="s">
        <v>175</v>
      </c>
    </row>
    <row r="60" spans="1:3" ht="33.75" customHeight="1">
      <c r="A60" s="14" t="str">
        <f>SUBSTITUTE(_xlfn.FORMULATEXT(B59),",",", ")</f>
        <v>=QS.CURVE.CONFIGS.ADD.ZERO(Loan_InitialCurves, "ESTR", "Actual360", "Linear", TRUE, Loan_Pillars, Loan_ZeroRates, "Continuous", "Annual")</v>
      </c>
      <c r="B60" s="14"/>
      <c r="C60" s="14"/>
    </row>
    <row r="62" spans="1:3" ht="38.25" customHeight="1">
      <c r="A62" s="4" t="s">
        <v>176</v>
      </c>
      <c r="B62" s="10" cm="1" t="str">
        <f t="array" ref="B62">_xll.QS.CURVE.CONFIGS.ADD.ZERO(Loan_BaseCurves,"EURIBOR12m","Actual360","Linear",TRUE,Loan_Pillars,Loan_ForwardRates,"Continuous","Annual")</f>
        <v/>
      </c>
      <c r="C62" s="7" t="s">
        <v>177</v>
      </c>
    </row>
    <row r="63" spans="1:3" ht="33.75" customHeight="1">
      <c r="A63" s="14" t="str">
        <f>SUBSTITUTE(_xlfn.FORMULATEXT(B62),",",", ")</f>
        <v>=QS.CURVE.CONFIGS.ADD.ZERO(Loan_BaseCurves, "EURIBOR12m", "Actual360", "Linear", TRUE, Loan_Pillars, Loan_ForwardRates, "Continuous", "Annual")</v>
      </c>
      <c r="B63" s="14"/>
      <c r="C63" s="14"/>
    </row>
    <row r="65" spans="1:3" ht="38.25" customHeight="1">
      <c r="A65" s="4" t="s">
        <v>178</v>
      </c>
      <c r="B65" s="10" cm="1" t="str">
        <f t="array" ref="B65">_xll.QS.CURVE.CONFIGS.ADD.ZERO(Loan_ForwardCurves,"FUNDINGSPREAD","Actual360","Linear",TRUE,Loan_Pillars,Loan_FundingSpreads,"Continuous","Annual")</f>
        <v/>
      </c>
      <c r="C65" s="7" t="s">
        <v>179</v>
      </c>
    </row>
    <row r="66" spans="1:3" ht="33.75" customHeight="1">
      <c r="A66" s="14" t="str">
        <f>SUBSTITUTE(_xlfn.FORMULATEXT(B65),",",", ")</f>
        <v>=QS.CURVE.CONFIGS.ADD.ZERO(Loan_ForwardCurves, "FUNDINGSPREAD", "Actual360", "Linear", TRUE, Loan_Pillars, Loan_FundingSpreads, "Continuous", "Annual")</v>
      </c>
      <c r="B66" s="14"/>
      <c r="C66" s="14"/>
    </row>
    <row r="68" spans="1:3" ht="38.25" customHeight="1">
      <c r="A68" s="4" t="s">
        <v>180</v>
      </c>
      <c r="B68" s="10" cm="1" t="str">
        <f t="array" ref="B68">_xll.QS.CURVE.CONFIGS.ADD.COMPOSITE(Loan_SpreadCurves,"FUNDING","EURIBOR12m","FUNDINGSPREAD")</f>
        <v/>
      </c>
      <c r="C68" s="7" t="s">
        <v>181</v>
      </c>
    </row>
    <row r="69" spans="1:3" ht="33.75" customHeight="1">
      <c r="A69" s="14" t="str">
        <f>SUBSTITUTE(_xlfn.FORMULATEXT(B68),",",", ")</f>
        <v>=QS.CURVE.CONFIGS.ADD.COMPOSITE(Loan_SpreadCurves, "FUNDING", "EURIBOR12m", "FUNDINGSPREAD")</v>
      </c>
      <c r="B69" s="14"/>
      <c r="C69" s="14"/>
    </row>
    <row r="71" spans="1:3" ht="38.25" customHeight="1">
      <c r="A71" s="4" t="s">
        <v>182</v>
      </c>
      <c r="B71" s="10" cm="1" t="str">
        <f t="array" ref="B71">_xll.QS.CREDIT.CURVE.CONFIGS.CREATE("Loan.Credit")</f>
        <v/>
      </c>
      <c r="C71" s="7" t="s">
        <v>183</v>
      </c>
    </row>
    <row r="72" spans="1:3" ht="33.75" customHeight="1">
      <c r="A72" s="14" t="str">
        <f>SUBSTITUTE(_xlfn.FORMULATEXT(B71),",",", ")</f>
        <v>=QS.CREDIT.CURVE.CONFIGS.CREATE("Loan.Credit")</v>
      </c>
      <c r="B72" s="14"/>
      <c r="C72" s="14"/>
    </row>
    <row r="74" spans="1:3" ht="38.25" customHeight="1">
      <c r="A74" s="4" t="s">
        <v>184</v>
      </c>
      <c r="B74" s="10" cm="1" t="str">
        <f t="array" ref="B74">_xll.QS.CREDIT.CURVE.CONFIGS.ADD(Loan_InitialCredit,"Credit:BORROWER","EUR","ESTR",Loan_Recovery,Loan_CreditQuotes)</f>
        <v/>
      </c>
      <c r="C74" s="7" t="s">
        <v>185</v>
      </c>
    </row>
    <row r="75" spans="1:3" ht="33.75" customHeight="1">
      <c r="A75" s="14" t="str">
        <f>SUBSTITUTE(_xlfn.FORMULATEXT(B74),",",", ")</f>
        <v>=QS.CREDIT.CURVE.CONFIGS.ADD(Loan_InitialCredit, "Credit:BORROWER", "EUR", "ESTR", Loan_Recovery, Loan_CreditQuotes)</v>
      </c>
      <c r="B75" s="14"/>
      <c r="C75" s="14"/>
    </row>
  </sheetData>
  <mergeCells count="18">
    <mergeCell ref="A1:D1"/>
    <mergeCell ref="A2:D3"/>
    <mergeCell ref="A13:D14"/>
    <mergeCell ref="A33:C33"/>
    <mergeCell ref="A36:C36"/>
    <mergeCell ref="A39:C39"/>
    <mergeCell ref="A42:C42"/>
    <mergeCell ref="A45:C45"/>
    <mergeCell ref="A48:C48"/>
    <mergeCell ref="A51:C51"/>
    <mergeCell ref="A54:C54"/>
    <mergeCell ref="A57:C57"/>
    <mergeCell ref="A60:C60"/>
    <mergeCell ref="A63:C63"/>
    <mergeCell ref="A66:C66"/>
    <mergeCell ref="A69:C69"/>
    <mergeCell ref="A72:C72"/>
    <mergeCell ref="A75:C75"/>
  </mergeCells>
  <hyperlinks>
    <hyperlink ref="A4" location="'Start Here'!A1" display="← Start Here"/>
    <hyperlink ref="D4" location="'4 Build'!A1" display="Next → 4 Build"/>
  </hyperlinks>
  <pageMargins left="0.3" right="0.3" top="0.4" bottom="0.4" header="0.3" footer="0.3"/>
  <pageSetup paperSize="9" fitToHeight="0" orientation="landscape"/>
  <headerFooter>
    <oddFooter>&amp;LQuantSupport&amp;CMarket assumptions and curve construction&amp;R&amp;P / &amp;N</oddFooter>
  </headerFooter>
  <legacyDrawing r:id="rId1"/>
</worksheet>
</file>

<file path=xl/worksheets/sheet5.xml><?xml version="1.0" encoding="utf-8"?>
<worksheet xmlns="http://schemas.openxmlformats.org/spreadsheetml/2006/main" xmlns:r="http://schemas.openxmlformats.org/officeDocument/2006/relationships">
  <sheetPr>
    <tabColor rgb="FF78909C"/>
    <pageSetUpPr fitToPage="1"/>
  </sheetPr>
  <dimension ref="A1:C320"/>
  <sheetViews>
    <sheetView showGridLines="0" zoomScale="85" zoomScaleNormal="85" workbookViewId="0">
      <pane xSplit="1" ySplit="6" topLeftCell="B7" activePane="bottomRight" state="frozen"/>
      <selection pane="topRight" activeCell="B1" sqref="B1"/>
      <selection pane="bottomLeft" activeCell="A7" sqref="A7"/>
      <selection pane="bottomRight"/>
    </sheetView>
  </sheetViews>
  <sheetFormatPr defaultRowHeight="24" customHeight="1"/>
  <cols>
    <col min="1" max="1" width="34.7109375" style="1" customWidth="1"/>
    <col min="2" max="3" width="48.7109375" style="1" customWidth="1"/>
  </cols>
  <sheetData>
    <row r="1" spans="1:3" ht="38.25" customHeight="1">
      <c r="A1" s="2" t="s">
        <v>186</v>
      </c>
      <c r="B1" s="2"/>
      <c r="C1" s="2"/>
    </row>
    <row r="2" spans="1:3" ht="24" customHeight="1">
      <c r="A2" s="3" t="s">
        <v>187</v>
      </c>
      <c r="B2" s="3"/>
      <c r="C2" s="3"/>
    </row>
    <row r="3" spans="1:3" ht="24" customHeight="1">
      <c r="A3" s="3"/>
      <c r="B3" s="3"/>
      <c r="C3" s="3"/>
    </row>
    <row r="4" spans="1:3" ht="36" customHeight="1">
      <c r="A4" s="6" t="s">
        <v>42</v>
      </c>
      <c r="C4" s="6" t="s">
        <v>188</v>
      </c>
    </row>
    <row r="6" spans="1:3" ht="36" customHeight="1">
      <c r="A6" s="5" t="s">
        <v>189</v>
      </c>
      <c r="B6" s="5" t="s">
        <v>160</v>
      </c>
      <c r="C6" s="5" t="s">
        <v>190</v>
      </c>
    </row>
    <row r="7" spans="1:3" ht="38.25" customHeight="1">
      <c r="A7" s="4" t="s">
        <v>191</v>
      </c>
      <c r="B7" s="10" cm="1" t="str">
        <f t="array" ref="B7">_xll.QS.CONTEXT.FROM.COMPONENTS("Loan.Context",Loan_Quotes,Loan_Curves,Loan_Credit,,,,,,,,,"EUR","ESTR","Mid")</f>
        <v/>
      </c>
      <c r="C7" s="7" t="s">
        <v>192</v>
      </c>
    </row>
    <row r="8" spans="1:3" ht="33.75" customHeight="1">
      <c r="A8" s="14" t="str">
        <f>SUBSTITUTE(_xlfn.FORMULATEXT(B7),",",", ")</f>
        <v>=QS.CONTEXT.FROM.COMPONENTS("Loan.Context", Loan_Quotes, Loan_Curves, Loan_Credit, , , , , , , , , "EUR", "ESTR", "Mid")</v>
      </c>
      <c r="B8" s="14"/>
      <c r="C8" s="14"/>
    </row>
    <row r="10" spans="1:3" ht="38.25" customHeight="1">
      <c r="A10" s="4" t="s">
        <v>193</v>
      </c>
      <c r="B10" s="10" cm="1" t="str">
        <f t="array" ref="B10">_xll.QS.DISCOUNT.POLICY.FIXED.INCOME("Loan.RiskFreePolicy",Loan_RiskFreeCurrency,Loan_RiskFreeIndex)</f>
        <v/>
      </c>
      <c r="C10" s="7" t="s">
        <v>194</v>
      </c>
    </row>
    <row r="11" spans="1:3" ht="33.75" customHeight="1">
      <c r="A11" s="14" t="str">
        <f>SUBSTITUTE(_xlfn.FORMULATEXT(B10),",",", ")</f>
        <v>=QS.DISCOUNT.POLICY.FIXED.INCOME("Loan.RiskFreePolicy", Loan_RiskFreeCurrency, Loan_RiskFreeIndex)</v>
      </c>
      <c r="B11" s="14"/>
      <c r="C11" s="14"/>
    </row>
    <row r="13" spans="1:3" ht="38.25" customHeight="1">
      <c r="A13" s="4" t="s">
        <v>195</v>
      </c>
      <c r="B13" s="10" cm="1" t="str">
        <f t="array" ref="B13">_xll.QS.PRICER.CREATE("Loan.RiskFreePricer","LoanPricer",Loan_RiskFreePolicy)</f>
        <v/>
      </c>
      <c r="C13" s="7" t="s">
        <v>196</v>
      </c>
    </row>
    <row r="14" spans="1:3" ht="33.75" customHeight="1">
      <c r="A14" s="14" t="str">
        <f>SUBSTITUTE(_xlfn.FORMULATEXT(B13),",",", ")</f>
        <v>=QS.PRICER.CREATE("Loan.RiskFreePricer", "LoanPricer", Loan_RiskFreePolicy)</v>
      </c>
      <c r="B14" s="14"/>
      <c r="C14" s="14"/>
    </row>
    <row r="16" spans="1:3" ht="38.25" customHeight="1">
      <c r="A16" s="4" t="s">
        <v>197</v>
      </c>
      <c r="B16" s="10" cm="1" t="str">
        <f t="array" ref="B16">_xll.QS.DISCOUNT.POLICY.FIXED.INCOME("Loan.FundingPolicy",Loan_FundingCurrency,Loan_FundingIndex)</f>
        <v/>
      </c>
      <c r="C16" s="7" t="s">
        <v>194</v>
      </c>
    </row>
    <row r="17" spans="1:3" ht="33.75" customHeight="1">
      <c r="A17" s="14" t="str">
        <f>SUBSTITUTE(_xlfn.FORMULATEXT(B16),",",", ")</f>
        <v>=QS.DISCOUNT.POLICY.FIXED.INCOME("Loan.FundingPolicy", Loan_FundingCurrency, Loan_FundingIndex)</v>
      </c>
      <c r="B17" s="14"/>
      <c r="C17" s="14"/>
    </row>
    <row r="19" spans="1:3" ht="38.25" customHeight="1">
      <c r="A19" s="4" t="s">
        <v>198</v>
      </c>
      <c r="B19" s="10" cm="1" t="str">
        <f t="array" ref="B19">_xll.QS.PRICER.CREATE("Loan.FundingPricer","LoanPricer",Loan_FundingPolicy)</f>
        <v/>
      </c>
      <c r="C19" s="7" t="s">
        <v>196</v>
      </c>
    </row>
    <row r="20" spans="1:3" ht="33.75" customHeight="1">
      <c r="A20" s="14" t="str">
        <f>SUBSTITUTE(_xlfn.FORMULATEXT(B19),",",", ")</f>
        <v>=QS.PRICER.CREATE("Loan.FundingPricer", "LoanPricer", Loan_FundingPolicy)</v>
      </c>
      <c r="B20" s="14"/>
      <c r="C20" s="14"/>
    </row>
    <row r="22" spans="1:3" ht="38.25" customHeight="1">
      <c r="A22" s="4" t="s">
        <v>199</v>
      </c>
      <c r="B22" s="10" cm="1" t="str">
        <f t="array" ref="B22">_xll.QS.CURVE.GET(Loan_Context,"ESTR")</f>
        <v/>
      </c>
      <c r="C22" s="7" t="s">
        <v>200</v>
      </c>
    </row>
    <row r="23" spans="1:3" ht="33.75" customHeight="1">
      <c r="A23" s="14" t="str">
        <f>SUBSTITUTE(_xlfn.FORMULATEXT(B22),",",", ")</f>
        <v>=QS.CURVE.GET(Loan_Context, "ESTR")</v>
      </c>
      <c r="B23" s="14"/>
      <c r="C23" s="14"/>
    </row>
    <row r="25" spans="1:3" ht="38.25" customHeight="1">
      <c r="A25" s="4" t="s">
        <v>201</v>
      </c>
      <c r="B25" s="10" cm="1" t="str">
        <f t="array" ref="B25">_xll.QS.REQUEST.FAIR.RATE(0)</f>
        <v/>
      </c>
      <c r="C25" s="7" t="s">
        <v>202</v>
      </c>
    </row>
    <row r="26" spans="1:3" ht="33.75" customHeight="1">
      <c r="A26" s="14" t="str">
        <f>SUBSTITUTE(_xlfn.FORMULATEXT(B25),",",", ")</f>
        <v>=QS.REQUEST.FAIR.RATE(0)</v>
      </c>
      <c r="B26" s="14"/>
      <c r="C26" s="14"/>
    </row>
    <row r="28" spans="1:3" ht="38.25" customHeight="1">
      <c r="A28" s="4" t="s">
        <v>203</v>
      </c>
      <c r="B28" s="10" cm="1" t="str">
        <f t="array" ref="B28">_xll.QS.REQUEST.FAIR.RATE(1)</f>
        <v/>
      </c>
      <c r="C28" s="7" t="s">
        <v>202</v>
      </c>
    </row>
    <row r="29" spans="1:3" ht="33.75" customHeight="1">
      <c r="A29" s="14" t="str">
        <f>SUBSTITUTE(_xlfn.FORMULATEXT(B28),",",", ")</f>
        <v>=QS.REQUEST.FAIR.RATE(1)</v>
      </c>
      <c r="B29" s="14"/>
      <c r="C29" s="14"/>
    </row>
    <row r="31" spans="1:3" ht="38.25" customHeight="1">
      <c r="A31" s="4" t="s">
        <v>204</v>
      </c>
      <c r="B31" s="10" cm="1" t="str">
        <f t="array" ref="B31">_xll.QS.REQUEST.FAIR.RATE(2)</f>
        <v/>
      </c>
      <c r="C31" s="7" t="s">
        <v>202</v>
      </c>
    </row>
    <row r="32" spans="1:3" ht="33.75" customHeight="1">
      <c r="A32" s="14" t="str">
        <f>SUBSTITUTE(_xlfn.FORMULATEXT(B31),",",", ")</f>
        <v>=QS.REQUEST.FAIR.RATE(2)</v>
      </c>
      <c r="B32" s="14"/>
      <c r="C32" s="14"/>
    </row>
    <row r="34" spans="1:3" ht="24" customHeight="1">
      <c r="A34" s="4" t="s">
        <v>87</v>
      </c>
      <c r="B34" s="4"/>
      <c r="C34" s="4"/>
    </row>
    <row r="35" spans="1:3" ht="24" customHeight="1">
      <c r="A35" s="6" t="s">
        <v>205</v>
      </c>
    </row>
    <row r="37" spans="1:3" ht="38.25" customHeight="1">
      <c r="A37" s="4" t="s">
        <v>206</v>
      </c>
      <c r="B37" s="10" cm="1" t="str">
        <f t="array" ref="B37">_xll.QS.INSTRUMENT.LOAN("Loan.C01.Instrument",Loan_Start,Loan_Maturity,Loan_Currency,Loan_Notional,Loan_C01_Rate,Loan_C01_Index,Loan_C01_Repayment,Loan_Frequency,Loan_DayCounter,,)</f>
        <v/>
      </c>
      <c r="C37" s="7" t="s">
        <v>88</v>
      </c>
    </row>
    <row r="38" spans="1:3" ht="48" customHeight="1">
      <c r="A38" s="14" t="str">
        <f>SUBSTITUTE(_xlfn.FORMULATEXT(B37),",",", ")</f>
        <v>=QS.INSTRUMENT.LOAN("Loan.C01.Instrument", Loan_Start, Loan_Maturity, Loan_Currency, Loan_Notional, Loan_C01_Rate, Loan_C01_Index, Loan_C01_Repayment, Loan_Frequency, Loan_DayCounter, , )</v>
      </c>
      <c r="B38" s="14"/>
      <c r="C38" s="14"/>
    </row>
    <row r="40" spans="1:3" ht="38.25" customHeight="1">
      <c r="A40" s="4" t="s">
        <v>207</v>
      </c>
      <c r="B40" s="10" cm="1" t="str">
        <f t="array" ref="B40">_xll.QS.TRADE.CREATE("Loan.C01.Trade",Loan_C01_Instrument,Loan_ValuationDate,Loan_Side)</f>
        <v/>
      </c>
      <c r="C40" s="7" t="s">
        <v>208</v>
      </c>
    </row>
    <row r="41" spans="1:3" ht="33.75" customHeight="1">
      <c r="A41" s="14" t="str">
        <f>SUBSTITUTE(_xlfn.FORMULATEXT(B40),",",", ")</f>
        <v>=QS.TRADE.CREATE("Loan.C01.Trade", Loan_C01_Instrument, Loan_ValuationDate, Loan_Side)</v>
      </c>
      <c r="B41" s="14"/>
      <c r="C41" s="14"/>
    </row>
    <row r="43" spans="1:3" ht="38.25" customHeight="1">
      <c r="A43" s="4" t="s">
        <v>209</v>
      </c>
      <c r="B43" s="10">
        <f>IF(Loan_C01_Discount="FUNDING",Loan_FundingPricer,Loan_RiskFreePricer)</f>
        <v/>
      </c>
      <c r="C43" s="7" t="s">
        <v>210</v>
      </c>
    </row>
    <row r="44" spans="1:3" ht="33.75" customHeight="1">
      <c r="A44" s="14" t="str">
        <f>SUBSTITUTE(_xlfn.FORMULATEXT(B43),",",", ")</f>
        <v>=IF(Loan_C01_Discount="FUNDING", Loan_FundingPricer, Loan_RiskFreePricer)</v>
      </c>
      <c r="B44" s="14"/>
      <c r="C44" s="14"/>
    </row>
    <row r="46" spans="1:3" ht="38.25" customHeight="1">
      <c r="A46" s="4" t="s">
        <v>211</v>
      </c>
      <c r="B46" s="10" cm="1" t="str">
        <f t="array" ref="B46">_xll.QS.EVALUATE("Loan.C01.Result",Loan_C01_Pricer,Loan_C01_Trade,Loan_Context,Loan_Requests)</f>
        <v/>
      </c>
      <c r="C46" s="7" t="s">
        <v>212</v>
      </c>
    </row>
    <row r="47" spans="1:3" ht="33.75" customHeight="1">
      <c r="A47" s="14" t="str">
        <f>SUBSTITUTE(_xlfn.FORMULATEXT(B46),",",", ")</f>
        <v>=QS.EVALUATE("Loan.C01.Result", Loan_C01_Pricer, Loan_C01_Trade, Loan_Context, Loan_Requests)</v>
      </c>
      <c r="B47" s="14"/>
      <c r="C47" s="14"/>
    </row>
    <row r="49" spans="1:3" ht="38.25" customHeight="1">
      <c r="A49" s="4" t="s">
        <v>213</v>
      </c>
      <c r="B49" s="10" cm="1" t="str">
        <f t="array" ref="B49">_xll.QS.EVALUATE("Loan.C01.Fair0",Loan_C01_Pricer,Loan_C01_Trade,Loan_Context,Loan_Request0)</f>
        <v/>
      </c>
      <c r="C49" s="7" t="s">
        <v>214</v>
      </c>
    </row>
    <row r="50" spans="1:3" ht="33.75" customHeight="1">
      <c r="A50" s="14" t="str">
        <f>SUBSTITUTE(_xlfn.FORMULATEXT(B49),",",", ")</f>
        <v>=QS.EVALUATE("Loan.C01.Fair0", Loan_C01_Pricer, Loan_C01_Trade, Loan_Context, Loan_Request0)</v>
      </c>
      <c r="B50" s="14"/>
      <c r="C50" s="14"/>
    </row>
    <row r="54" spans="1:3" ht="24" customHeight="1">
      <c r="A54" s="4" t="s">
        <v>97</v>
      </c>
      <c r="B54" s="4"/>
      <c r="C54" s="4"/>
    </row>
    <row r="55" spans="1:3" ht="24" customHeight="1">
      <c r="A55" s="6" t="s">
        <v>205</v>
      </c>
    </row>
    <row r="57" spans="1:3" ht="38.25" customHeight="1">
      <c r="A57" s="4" t="s">
        <v>206</v>
      </c>
      <c r="B57" s="10" cm="1" t="str">
        <f t="array" ref="B57">_xll.QS.INSTRUMENT.LOAN("Loan.C02.Instrument",Loan_Start,Loan_Maturity,Loan_Currency,Loan_Notional,Loan_C02_Rate,Loan_C02_Index,Loan_C02_Repayment,Loan_Frequency,Loan_DayCounter,,)</f>
        <v/>
      </c>
      <c r="C57" s="7" t="s">
        <v>98</v>
      </c>
    </row>
    <row r="58" spans="1:3" ht="48" customHeight="1">
      <c r="A58" s="14" t="str">
        <f>SUBSTITUTE(_xlfn.FORMULATEXT(B57),",",", ")</f>
        <v>=QS.INSTRUMENT.LOAN("Loan.C02.Instrument", Loan_Start, Loan_Maturity, Loan_Currency, Loan_Notional, Loan_C02_Rate, Loan_C02_Index, Loan_C02_Repayment, Loan_Frequency, Loan_DayCounter, , )</v>
      </c>
      <c r="B58" s="14"/>
      <c r="C58" s="14"/>
    </row>
    <row r="60" spans="1:3" ht="38.25" customHeight="1">
      <c r="A60" s="4" t="s">
        <v>207</v>
      </c>
      <c r="B60" s="10" cm="1" t="str">
        <f t="array" ref="B60">_xll.QS.TRADE.CREATE("Loan.C02.Trade",Loan_C02_Instrument,Loan_ValuationDate,Loan_Side)</f>
        <v/>
      </c>
      <c r="C60" s="7" t="s">
        <v>208</v>
      </c>
    </row>
    <row r="61" spans="1:3" ht="33.75" customHeight="1">
      <c r="A61" s="14" t="str">
        <f>SUBSTITUTE(_xlfn.FORMULATEXT(B60),",",", ")</f>
        <v>=QS.TRADE.CREATE("Loan.C02.Trade", Loan_C02_Instrument, Loan_ValuationDate, Loan_Side)</v>
      </c>
      <c r="B61" s="14"/>
      <c r="C61" s="14"/>
    </row>
    <row r="63" spans="1:3" ht="38.25" customHeight="1">
      <c r="A63" s="4" t="s">
        <v>209</v>
      </c>
      <c r="B63" s="10">
        <f>IF(Loan_C02_Discount="FUNDING",Loan_FundingPricer,Loan_RiskFreePricer)</f>
        <v/>
      </c>
      <c r="C63" s="7" t="s">
        <v>210</v>
      </c>
    </row>
    <row r="64" spans="1:3" ht="33.75" customHeight="1">
      <c r="A64" s="14" t="str">
        <f>SUBSTITUTE(_xlfn.FORMULATEXT(B63),",",", ")</f>
        <v>=IF(Loan_C02_Discount="FUNDING", Loan_FundingPricer, Loan_RiskFreePricer)</v>
      </c>
      <c r="B64" s="14"/>
      <c r="C64" s="14"/>
    </row>
    <row r="66" spans="1:3" ht="38.25" customHeight="1">
      <c r="A66" s="4" t="s">
        <v>211</v>
      </c>
      <c r="B66" s="10" cm="1" t="str">
        <f t="array" ref="B66">_xll.QS.EVALUATE("Loan.C02.Result",Loan_C02_Pricer,Loan_C02_Trade,Loan_Context,Loan_Requests)</f>
        <v/>
      </c>
      <c r="C66" s="7" t="s">
        <v>212</v>
      </c>
    </row>
    <row r="67" spans="1:3" ht="33.75" customHeight="1">
      <c r="A67" s="14" t="str">
        <f>SUBSTITUTE(_xlfn.FORMULATEXT(B66),",",", ")</f>
        <v>=QS.EVALUATE("Loan.C02.Result", Loan_C02_Pricer, Loan_C02_Trade, Loan_Context, Loan_Requests)</v>
      </c>
      <c r="B67" s="14"/>
      <c r="C67" s="14"/>
    </row>
    <row r="69" spans="1:3" ht="38.25" customHeight="1">
      <c r="A69" s="4" t="s">
        <v>213</v>
      </c>
      <c r="B69" s="10" cm="1" t="str">
        <f t="array" ref="B69">_xll.QS.EVALUATE("Loan.C02.Fair0",Loan_C02_Pricer,Loan_C02_Trade,Loan_Context,Loan_Request0)</f>
        <v/>
      </c>
      <c r="C69" s="7" t="s">
        <v>214</v>
      </c>
    </row>
    <row r="70" spans="1:3" ht="33.75" customHeight="1">
      <c r="A70" s="14" t="str">
        <f>SUBSTITUTE(_xlfn.FORMULATEXT(B69),",",", ")</f>
        <v>=QS.EVALUATE("Loan.C02.Fair0", Loan_C02_Pricer, Loan_C02_Trade, Loan_Context, Loan_Request0)</v>
      </c>
      <c r="B70" s="14"/>
      <c r="C70" s="14"/>
    </row>
    <row r="74" spans="1:3" ht="24" customHeight="1">
      <c r="A74" s="4" t="s">
        <v>100</v>
      </c>
      <c r="B74" s="4"/>
      <c r="C74" s="4"/>
    </row>
    <row r="75" spans="1:3" ht="24" customHeight="1">
      <c r="A75" s="6" t="s">
        <v>205</v>
      </c>
    </row>
    <row r="77" spans="1:3" ht="38.25" customHeight="1">
      <c r="A77" s="4" t="s">
        <v>215</v>
      </c>
      <c r="B77" s="10" cm="1" t="str">
        <f t="array" ref="B77">_xll.QS.LOAN.SETTINGS("Loan.C03.Options",INDEX(Loan_C03_Settings,2,2))</f>
        <v/>
      </c>
      <c r="C77" s="7" t="s">
        <v>216</v>
      </c>
    </row>
    <row r="78" spans="1:3" ht="33.75" customHeight="1">
      <c r="A78" s="14" t="str">
        <f>SUBSTITUTE(_xlfn.FORMULATEXT(B77),",",", ")</f>
        <v>=QS.LOAN.SETTINGS("Loan.C03.Options", INDEX(Loan_C03_Settings, 2, 2))</v>
      </c>
      <c r="B78" s="14"/>
      <c r="C78" s="14"/>
    </row>
    <row r="80" spans="1:3" ht="38.25" customHeight="1">
      <c r="A80" s="4" t="s">
        <v>206</v>
      </c>
      <c r="B80" s="10" cm="1" t="str">
        <f t="array" ref="B80">_xll.QS.INSTRUMENT.LOAN("Loan.C03.Instrument",Loan_Start,Loan_Maturity,Loan_Currency,Loan_Notional,Loan_C03_Rate,Loan_C03_Index,Loan_C03_Repayment,Loan_Frequency,Loan_DayCounter,Loan_C03_Options,)</f>
        <v/>
      </c>
      <c r="C80" s="7" t="s">
        <v>101</v>
      </c>
    </row>
    <row r="81" spans="1:3" ht="48" customHeight="1">
      <c r="A81" s="14" t="str">
        <f>SUBSTITUTE(_xlfn.FORMULATEXT(B80),",",", ")</f>
        <v>=QS.INSTRUMENT.LOAN("Loan.C03.Instrument", Loan_Start, Loan_Maturity, Loan_Currency, Loan_Notional, Loan_C03_Rate, Loan_C03_Index, Loan_C03_Repayment, Loan_Frequency, Loan_DayCounter, Loan_C03_Options, )</v>
      </c>
      <c r="B81" s="14"/>
      <c r="C81" s="14"/>
    </row>
    <row r="83" spans="1:3" ht="38.25" customHeight="1">
      <c r="A83" s="4" t="s">
        <v>207</v>
      </c>
      <c r="B83" s="10" cm="1" t="str">
        <f t="array" ref="B83">_xll.QS.TRADE.CREATE("Loan.C03.Trade",Loan_C03_Instrument,Loan_ValuationDate,Loan_Side)</f>
        <v/>
      </c>
      <c r="C83" s="7" t="s">
        <v>208</v>
      </c>
    </row>
    <row r="84" spans="1:3" ht="33.75" customHeight="1">
      <c r="A84" s="14" t="str">
        <f>SUBSTITUTE(_xlfn.FORMULATEXT(B83),",",", ")</f>
        <v>=QS.TRADE.CREATE("Loan.C03.Trade", Loan_C03_Instrument, Loan_ValuationDate, Loan_Side)</v>
      </c>
      <c r="B84" s="14"/>
      <c r="C84" s="14"/>
    </row>
    <row r="86" spans="1:3" ht="38.25" customHeight="1">
      <c r="A86" s="4" t="s">
        <v>209</v>
      </c>
      <c r="B86" s="10">
        <f>IF(Loan_C03_Discount="FUNDING",Loan_FundingPricer,Loan_RiskFreePricer)</f>
        <v/>
      </c>
      <c r="C86" s="7" t="s">
        <v>210</v>
      </c>
    </row>
    <row r="87" spans="1:3" ht="33.75" customHeight="1">
      <c r="A87" s="14" t="str">
        <f>SUBSTITUTE(_xlfn.FORMULATEXT(B86),",",", ")</f>
        <v>=IF(Loan_C03_Discount="FUNDING", Loan_FundingPricer, Loan_RiskFreePricer)</v>
      </c>
      <c r="B87" s="14"/>
      <c r="C87" s="14"/>
    </row>
    <row r="89" spans="1:3" ht="38.25" customHeight="1">
      <c r="A89" s="4" t="s">
        <v>211</v>
      </c>
      <c r="B89" s="10" cm="1" t="str">
        <f t="array" ref="B89">_xll.QS.EVALUATE("Loan.C03.Result",Loan_C03_Pricer,Loan_C03_Trade,Loan_Context,Loan_Requests)</f>
        <v/>
      </c>
      <c r="C89" s="7" t="s">
        <v>212</v>
      </c>
    </row>
    <row r="90" spans="1:3" ht="33.75" customHeight="1">
      <c r="A90" s="14" t="str">
        <f>SUBSTITUTE(_xlfn.FORMULATEXT(B89),",",", ")</f>
        <v>=QS.EVALUATE("Loan.C03.Result", Loan_C03_Pricer, Loan_C03_Trade, Loan_Context, Loan_Requests)</v>
      </c>
      <c r="B90" s="14"/>
      <c r="C90" s="14"/>
    </row>
    <row r="92" spans="1:3" ht="38.25" customHeight="1">
      <c r="A92" s="4" t="s">
        <v>213</v>
      </c>
      <c r="B92" s="10" cm="1" t="str">
        <f t="array" ref="B92">_xll.QS.EVALUATE("Loan.C03.Fair0",Loan_C03_Pricer,Loan_C03_Trade,Loan_Context,Loan_Request0)</f>
        <v/>
      </c>
      <c r="C92" s="7" t="s">
        <v>214</v>
      </c>
    </row>
    <row r="93" spans="1:3" ht="33.75" customHeight="1">
      <c r="A93" s="14" t="str">
        <f>SUBSTITUTE(_xlfn.FORMULATEXT(B92),",",", ")</f>
        <v>=QS.EVALUATE("Loan.C03.Fair0", Loan_C03_Pricer, Loan_C03_Trade, Loan_Context, Loan_Request0)</v>
      </c>
      <c r="B93" s="14"/>
      <c r="C93" s="14"/>
    </row>
    <row r="97" spans="1:3" ht="24" customHeight="1">
      <c r="A97" s="4" t="s">
        <v>105</v>
      </c>
      <c r="B97" s="4"/>
      <c r="C97" s="4"/>
    </row>
    <row r="98" spans="1:3" ht="24" customHeight="1">
      <c r="A98" s="6" t="s">
        <v>205</v>
      </c>
    </row>
    <row r="100" spans="1:3" ht="38.25" customHeight="1">
      <c r="A100" s="4" t="s">
        <v>215</v>
      </c>
      <c r="B100" s="10" cm="1" t="str">
        <f t="array" ref="B100">_xll.QS.LOAN.SETTINGS("Loan.C04.Options",,INDEX(Loan_C04_Settings,2,2))</f>
        <v/>
      </c>
      <c r="C100" s="7" t="s">
        <v>216</v>
      </c>
    </row>
    <row r="101" spans="1:3" ht="33.75" customHeight="1">
      <c r="A101" s="14" t="str">
        <f>SUBSTITUTE(_xlfn.FORMULATEXT(B100),",",", ")</f>
        <v>=QS.LOAN.SETTINGS("Loan.C04.Options", , INDEX(Loan_C04_Settings, 2, 2))</v>
      </c>
      <c r="B101" s="14"/>
      <c r="C101" s="14"/>
    </row>
    <row r="103" spans="1:3" ht="38.25" customHeight="1">
      <c r="A103" s="4" t="s">
        <v>206</v>
      </c>
      <c r="B103" s="10" cm="1" t="str">
        <f t="array" ref="B103">_xll.QS.INSTRUMENT.LOAN("Loan.C04.Instrument",Loan_Start,Loan_Maturity,Loan_Currency,Loan_Notional,Loan_C04_Rate,Loan_C04_Index,Loan_C04_Repayment,Loan_Frequency,Loan_DayCounter,Loan_C04_Options,)</f>
        <v/>
      </c>
      <c r="C103" s="7" t="s">
        <v>106</v>
      </c>
    </row>
    <row r="104" spans="1:3" ht="48" customHeight="1">
      <c r="A104" s="14" t="str">
        <f>SUBSTITUTE(_xlfn.FORMULATEXT(B103),",",", ")</f>
        <v>=QS.INSTRUMENT.LOAN("Loan.C04.Instrument", Loan_Start, Loan_Maturity, Loan_Currency, Loan_Notional, Loan_C04_Rate, Loan_C04_Index, Loan_C04_Repayment, Loan_Frequency, Loan_DayCounter, Loan_C04_Options, )</v>
      </c>
      <c r="B104" s="14"/>
      <c r="C104" s="14"/>
    </row>
    <row r="106" spans="1:3" ht="38.25" customHeight="1">
      <c r="A106" s="4" t="s">
        <v>207</v>
      </c>
      <c r="B106" s="10" cm="1" t="str">
        <f t="array" ref="B106">_xll.QS.TRADE.CREATE("Loan.C04.Trade",Loan_C04_Instrument,Loan_ValuationDate,Loan_Side)</f>
        <v/>
      </c>
      <c r="C106" s="7" t="s">
        <v>208</v>
      </c>
    </row>
    <row r="107" spans="1:3" ht="33.75" customHeight="1">
      <c r="A107" s="14" t="str">
        <f>SUBSTITUTE(_xlfn.FORMULATEXT(B106),",",", ")</f>
        <v>=QS.TRADE.CREATE("Loan.C04.Trade", Loan_C04_Instrument, Loan_ValuationDate, Loan_Side)</v>
      </c>
      <c r="B107" s="14"/>
      <c r="C107" s="14"/>
    </row>
    <row r="109" spans="1:3" ht="38.25" customHeight="1">
      <c r="A109" s="4" t="s">
        <v>209</v>
      </c>
      <c r="B109" s="10">
        <f>IF(Loan_C04_Discount="FUNDING",Loan_FundingPricer,Loan_RiskFreePricer)</f>
        <v/>
      </c>
      <c r="C109" s="7" t="s">
        <v>210</v>
      </c>
    </row>
    <row r="110" spans="1:3" ht="33.75" customHeight="1">
      <c r="A110" s="14" t="str">
        <f>SUBSTITUTE(_xlfn.FORMULATEXT(B109),",",", ")</f>
        <v>=IF(Loan_C04_Discount="FUNDING", Loan_FundingPricer, Loan_RiskFreePricer)</v>
      </c>
      <c r="B110" s="14"/>
      <c r="C110" s="14"/>
    </row>
    <row r="112" spans="1:3" ht="38.25" customHeight="1">
      <c r="A112" s="4" t="s">
        <v>211</v>
      </c>
      <c r="B112" s="10" cm="1" t="str">
        <f t="array" ref="B112">_xll.QS.EVALUATE("Loan.C04.Result",Loan_C04_Pricer,Loan_C04_Trade,Loan_Context,Loan_Requests)</f>
        <v/>
      </c>
      <c r="C112" s="7" t="s">
        <v>212</v>
      </c>
    </row>
    <row r="113" spans="1:3" ht="33.75" customHeight="1">
      <c r="A113" s="14" t="str">
        <f>SUBSTITUTE(_xlfn.FORMULATEXT(B112),",",", ")</f>
        <v>=QS.EVALUATE("Loan.C04.Result", Loan_C04_Pricer, Loan_C04_Trade, Loan_Context, Loan_Requests)</v>
      </c>
      <c r="B113" s="14"/>
      <c r="C113" s="14"/>
    </row>
    <row r="115" spans="1:3" ht="38.25" customHeight="1">
      <c r="A115" s="4" t="s">
        <v>213</v>
      </c>
      <c r="B115" s="10" cm="1" t="str">
        <f t="array" ref="B115">_xll.QS.EVALUATE("Loan.C04.Fair0",Loan_C04_Pricer,Loan_C04_Trade,Loan_Context,Loan_Request0)</f>
        <v/>
      </c>
      <c r="C115" s="7" t="s">
        <v>214</v>
      </c>
    </row>
    <row r="116" spans="1:3" ht="33.75" customHeight="1">
      <c r="A116" s="14" t="str">
        <f>SUBSTITUTE(_xlfn.FORMULATEXT(B115),",",", ")</f>
        <v>=QS.EVALUATE("Loan.C04.Fair0", Loan_C04_Pricer, Loan_C04_Trade, Loan_Context, Loan_Request0)</v>
      </c>
      <c r="B116" s="14"/>
      <c r="C116" s="14"/>
    </row>
    <row r="120" spans="1:3" ht="24" customHeight="1">
      <c r="A120" s="4" t="s">
        <v>109</v>
      </c>
      <c r="B120" s="4"/>
      <c r="C120" s="4"/>
    </row>
    <row r="121" spans="1:3" ht="24" customHeight="1">
      <c r="A121" s="6" t="s">
        <v>205</v>
      </c>
    </row>
    <row r="123" spans="1:3" ht="38.25" customHeight="1">
      <c r="A123" s="4" t="s">
        <v>206</v>
      </c>
      <c r="B123" s="10" cm="1" t="str">
        <f t="array" ref="B123">_xll.QS.INSTRUMENT.LOAN("Loan.C05.Instrument",Loan_Start,Loan_Maturity,Loan_Currency,Loan_Notional,Loan_C05_Rate,Loan_C05_Index,Loan_C05_Repayment,Loan_Frequency,Loan_DayCounter,,Loan_C05_Coupons)</f>
        <v/>
      </c>
      <c r="C123" s="7" t="s">
        <v>110</v>
      </c>
    </row>
    <row r="124" spans="1:3" ht="48" customHeight="1">
      <c r="A124" s="14" t="str">
        <f>SUBSTITUTE(_xlfn.FORMULATEXT(B123),",",", ")</f>
        <v>=QS.INSTRUMENT.LOAN("Loan.C05.Instrument", Loan_Start, Loan_Maturity, Loan_Currency, Loan_Notional, Loan_C05_Rate, Loan_C05_Index, Loan_C05_Repayment, Loan_Frequency, Loan_DayCounter, , Loan_C05_Coupons)</v>
      </c>
      <c r="B124" s="14"/>
      <c r="C124" s="14"/>
    </row>
    <row r="126" spans="1:3" ht="38.25" customHeight="1">
      <c r="A126" s="4" t="s">
        <v>207</v>
      </c>
      <c r="B126" s="10" cm="1" t="str">
        <f t="array" ref="B126">_xll.QS.TRADE.CREATE("Loan.C05.Trade",Loan_C05_Instrument,Loan_ValuationDate,Loan_Side)</f>
        <v/>
      </c>
      <c r="C126" s="7" t="s">
        <v>208</v>
      </c>
    </row>
    <row r="127" spans="1:3" ht="33.75" customHeight="1">
      <c r="A127" s="14" t="str">
        <f>SUBSTITUTE(_xlfn.FORMULATEXT(B126),",",", ")</f>
        <v>=QS.TRADE.CREATE("Loan.C05.Trade", Loan_C05_Instrument, Loan_ValuationDate, Loan_Side)</v>
      </c>
      <c r="B127" s="14"/>
      <c r="C127" s="14"/>
    </row>
    <row r="129" spans="1:3" ht="38.25" customHeight="1">
      <c r="A129" s="4" t="s">
        <v>209</v>
      </c>
      <c r="B129" s="10">
        <f>IF(Loan_C05_Discount="FUNDING",Loan_FundingPricer,Loan_RiskFreePricer)</f>
        <v/>
      </c>
      <c r="C129" s="7" t="s">
        <v>210</v>
      </c>
    </row>
    <row r="130" spans="1:3" ht="33.75" customHeight="1">
      <c r="A130" s="14" t="str">
        <f>SUBSTITUTE(_xlfn.FORMULATEXT(B129),",",", ")</f>
        <v>=IF(Loan_C05_Discount="FUNDING", Loan_FundingPricer, Loan_RiskFreePricer)</v>
      </c>
      <c r="B130" s="14"/>
      <c r="C130" s="14"/>
    </row>
    <row r="132" spans="1:3" ht="38.25" customHeight="1">
      <c r="A132" s="4" t="s">
        <v>211</v>
      </c>
      <c r="B132" s="10" cm="1" t="str">
        <f t="array" ref="B132">_xll.QS.EVALUATE("Loan.C05.Result",Loan_C05_Pricer,Loan_C05_Trade,Loan_Context,Loan_Requests)</f>
        <v/>
      </c>
      <c r="C132" s="7" t="s">
        <v>212</v>
      </c>
    </row>
    <row r="133" spans="1:3" ht="33.75" customHeight="1">
      <c r="A133" s="14" t="str">
        <f>SUBSTITUTE(_xlfn.FORMULATEXT(B132),",",", ")</f>
        <v>=QS.EVALUATE("Loan.C05.Result", Loan_C05_Pricer, Loan_C05_Trade, Loan_Context, Loan_Requests)</v>
      </c>
      <c r="B133" s="14"/>
      <c r="C133" s="14"/>
    </row>
    <row r="135" spans="1:3" ht="38.25" customHeight="1">
      <c r="A135" s="4" t="s">
        <v>213</v>
      </c>
      <c r="B135" s="10" cm="1" t="str">
        <f t="array" ref="B135">_xll.QS.EVALUATE("Loan.C05.Fair0",Loan_C05_Pricer,Loan_C05_Trade,Loan_Context,Loan_Request0)</f>
        <v/>
      </c>
      <c r="C135" s="7" t="s">
        <v>214</v>
      </c>
    </row>
    <row r="136" spans="1:3" ht="33.75" customHeight="1">
      <c r="A136" s="14" t="str">
        <f>SUBSTITUTE(_xlfn.FORMULATEXT(B135),",",", ")</f>
        <v>=QS.EVALUATE("Loan.C05.Fair0", Loan_C05_Pricer, Loan_C05_Trade, Loan_Context, Loan_Request0)</v>
      </c>
      <c r="B136" s="14"/>
      <c r="C136" s="14"/>
    </row>
    <row r="138" spans="1:3" ht="38.25" customHeight="1">
      <c r="A138" s="4" t="s">
        <v>217</v>
      </c>
      <c r="B138" s="10" cm="1" t="str">
        <f t="array" ref="B138">_xll.QS.EVALUATE("Loan.C05.Fair1",Loan_C05_Pricer,Loan_C05_Trade,Loan_Context,Loan_Request1)</f>
        <v/>
      </c>
      <c r="C138" s="7" t="s">
        <v>214</v>
      </c>
    </row>
    <row r="139" spans="1:3" ht="33.75" customHeight="1">
      <c r="A139" s="14" t="str">
        <f>SUBSTITUTE(_xlfn.FORMULATEXT(B138),",",", ")</f>
        <v>=QS.EVALUATE("Loan.C05.Fair1", Loan_C05_Pricer, Loan_C05_Trade, Loan_Context, Loan_Request1)</v>
      </c>
      <c r="B139" s="14"/>
      <c r="C139" s="14"/>
    </row>
    <row r="143" spans="1:3" ht="24" customHeight="1">
      <c r="A143" s="4" t="s">
        <v>115</v>
      </c>
      <c r="B143" s="4"/>
      <c r="C143" s="4"/>
    </row>
    <row r="144" spans="1:3" ht="24" customHeight="1">
      <c r="A144" s="6" t="s">
        <v>205</v>
      </c>
    </row>
    <row r="146" spans="1:3" ht="38.25" customHeight="1">
      <c r="A146" s="4" t="s">
        <v>215</v>
      </c>
      <c r="B146" s="10" cm="1" t="str">
        <f t="array" ref="B146">_xll.QS.LOAN.SETTINGS("Loan.C06.Options",,INDEX(Loan_C06_Settings,2,2),,,,,,,,INDEX(Loan_C06_Settings,3,2),INDEX(Loan_C06_Settings,4,2))</f>
        <v/>
      </c>
      <c r="C146" s="7" t="s">
        <v>216</v>
      </c>
    </row>
    <row r="147" spans="1:3" ht="33.75" customHeight="1">
      <c r="A147" s="14" t="str">
        <f>SUBSTITUTE(_xlfn.FORMULATEXT(B146),",",", ")</f>
        <v>=QS.LOAN.SETTINGS("Loan.C06.Options", , INDEX(Loan_C06_Settings, 2, 2), , , , , , , , INDEX(Loan_C06_Settings, 3, 2), INDEX(Loan_C06_Settings, 4, 2))</v>
      </c>
      <c r="B147" s="14"/>
      <c r="C147" s="14"/>
    </row>
    <row r="149" spans="1:3" ht="38.25" customHeight="1">
      <c r="A149" s="4" t="s">
        <v>206</v>
      </c>
      <c r="B149" s="10" cm="1" t="str">
        <f t="array" ref="B149">_xll.QS.INSTRUMENT.LOAN("Loan.C06.Instrument",Loan_Start,Loan_Maturity,Loan_Currency,Loan_Notional,Loan_C06_Rate,Loan_C06_Index,Loan_C06_Repayment,Loan_Frequency,Loan_DayCounter,Loan_C06_Options,)</f>
        <v/>
      </c>
      <c r="C149" s="7" t="s">
        <v>116</v>
      </c>
    </row>
    <row r="150" spans="1:3" ht="48" customHeight="1">
      <c r="A150" s="14" t="str">
        <f>SUBSTITUTE(_xlfn.FORMULATEXT(B149),",",", ")</f>
        <v>=QS.INSTRUMENT.LOAN("Loan.C06.Instrument", Loan_Start, Loan_Maturity, Loan_Currency, Loan_Notional, Loan_C06_Rate, Loan_C06_Index, Loan_C06_Repayment, Loan_Frequency, Loan_DayCounter, Loan_C06_Options, )</v>
      </c>
      <c r="B150" s="14"/>
      <c r="C150" s="14"/>
    </row>
    <row r="152" spans="1:3" ht="38.25" customHeight="1">
      <c r="A152" s="4" t="s">
        <v>207</v>
      </c>
      <c r="B152" s="10" cm="1" t="str">
        <f t="array" ref="B152">_xll.QS.TRADE.CREATE("Loan.C06.Trade",Loan_C06_Instrument,Loan_ValuationDate,Loan_Side)</f>
        <v/>
      </c>
      <c r="C152" s="7" t="s">
        <v>208</v>
      </c>
    </row>
    <row r="153" spans="1:3" ht="33.75" customHeight="1">
      <c r="A153" s="14" t="str">
        <f>SUBSTITUTE(_xlfn.FORMULATEXT(B152),",",", ")</f>
        <v>=QS.TRADE.CREATE("Loan.C06.Trade", Loan_C06_Instrument, Loan_ValuationDate, Loan_Side)</v>
      </c>
      <c r="B153" s="14"/>
      <c r="C153" s="14"/>
    </row>
    <row r="155" spans="1:3" ht="38.25" customHeight="1">
      <c r="A155" s="4" t="s">
        <v>209</v>
      </c>
      <c r="B155" s="10">
        <f>IF(Loan_C06_Discount="FUNDING",Loan_FundingPricer,Loan_RiskFreePricer)</f>
        <v/>
      </c>
      <c r="C155" s="7" t="s">
        <v>210</v>
      </c>
    </row>
    <row r="156" spans="1:3" ht="33.75" customHeight="1">
      <c r="A156" s="14" t="str">
        <f>SUBSTITUTE(_xlfn.FORMULATEXT(B155),",",", ")</f>
        <v>=IF(Loan_C06_Discount="FUNDING", Loan_FundingPricer, Loan_RiskFreePricer)</v>
      </c>
      <c r="B156" s="14"/>
      <c r="C156" s="14"/>
    </row>
    <row r="158" spans="1:3" ht="38.25" customHeight="1">
      <c r="A158" s="4" t="s">
        <v>211</v>
      </c>
      <c r="B158" s="10" cm="1" t="str">
        <f t="array" ref="B158">_xll.QS.EVALUATE("Loan.C06.Result",Loan_C06_Pricer,Loan_C06_Trade,Loan_Context,Loan_Requests)</f>
        <v/>
      </c>
      <c r="C158" s="7" t="s">
        <v>212</v>
      </c>
    </row>
    <row r="159" spans="1:3" ht="33.75" customHeight="1">
      <c r="A159" s="14" t="str">
        <f>SUBSTITUTE(_xlfn.FORMULATEXT(B158),",",", ")</f>
        <v>=QS.EVALUATE("Loan.C06.Result", Loan_C06_Pricer, Loan_C06_Trade, Loan_Context, Loan_Requests)</v>
      </c>
      <c r="B159" s="14"/>
      <c r="C159" s="14"/>
    </row>
    <row r="163" spans="1:3" ht="24" customHeight="1">
      <c r="A163" s="4" t="s">
        <v>119</v>
      </c>
      <c r="B163" s="4"/>
      <c r="C163" s="4"/>
    </row>
    <row r="164" spans="1:3" ht="24" customHeight="1">
      <c r="A164" s="6" t="s">
        <v>205</v>
      </c>
    </row>
    <row r="166" spans="1:3" ht="38.25" customHeight="1">
      <c r="A166" s="4" t="s">
        <v>215</v>
      </c>
      <c r="B166" s="10" cm="1" t="str">
        <f t="array" ref="B166">_xll.QS.LOAN.SETTINGS("Loan.C07.Options",,,,,,,,,,,,,,INDEX(Loan_C07_Settings,2,2))</f>
        <v/>
      </c>
      <c r="C166" s="7" t="s">
        <v>216</v>
      </c>
    </row>
    <row r="167" spans="1:3" ht="33.75" customHeight="1">
      <c r="A167" s="14" t="str">
        <f>SUBSTITUTE(_xlfn.FORMULATEXT(B166),",",", ")</f>
        <v>=QS.LOAN.SETTINGS("Loan.C07.Options", , , , , , , , , , , , , , INDEX(Loan_C07_Settings, 2, 2))</v>
      </c>
      <c r="B167" s="14"/>
      <c r="C167" s="14"/>
    </row>
    <row r="169" spans="1:3" ht="38.25" customHeight="1">
      <c r="A169" s="4" t="s">
        <v>206</v>
      </c>
      <c r="B169" s="10" cm="1" t="str">
        <f t="array" ref="B169">_xll.QS.INSTRUMENT.LOAN("Loan.C07.Instrument",Loan_Start,Loan_Maturity,Loan_Currency,Loan_Notional,Loan_C07_Rate,Loan_C07_Index,Loan_C07_Repayment,Loan_Frequency,Loan_DayCounter,Loan_C07_Options,)</f>
        <v/>
      </c>
      <c r="C169" s="7" t="s">
        <v>120</v>
      </c>
    </row>
    <row r="170" spans="1:3" ht="48" customHeight="1">
      <c r="A170" s="14" t="str">
        <f>SUBSTITUTE(_xlfn.FORMULATEXT(B169),",",", ")</f>
        <v>=QS.INSTRUMENT.LOAN("Loan.C07.Instrument", Loan_Start, Loan_Maturity, Loan_Currency, Loan_Notional, Loan_C07_Rate, Loan_C07_Index, Loan_C07_Repayment, Loan_Frequency, Loan_DayCounter, Loan_C07_Options, )</v>
      </c>
      <c r="B170" s="14"/>
      <c r="C170" s="14"/>
    </row>
    <row r="172" spans="1:3" ht="38.25" customHeight="1">
      <c r="A172" s="4" t="s">
        <v>207</v>
      </c>
      <c r="B172" s="10" cm="1" t="str">
        <f t="array" ref="B172">_xll.QS.TRADE.CREATE("Loan.C07.Trade",Loan_C07_Instrument,Loan_ValuationDate,Loan_Side)</f>
        <v/>
      </c>
      <c r="C172" s="7" t="s">
        <v>208</v>
      </c>
    </row>
    <row r="173" spans="1:3" ht="33.75" customHeight="1">
      <c r="A173" s="14" t="str">
        <f>SUBSTITUTE(_xlfn.FORMULATEXT(B172),",",", ")</f>
        <v>=QS.TRADE.CREATE("Loan.C07.Trade", Loan_C07_Instrument, Loan_ValuationDate, Loan_Side)</v>
      </c>
      <c r="B173" s="14"/>
      <c r="C173" s="14"/>
    </row>
    <row r="175" spans="1:3" ht="38.25" customHeight="1">
      <c r="A175" s="4" t="s">
        <v>209</v>
      </c>
      <c r="B175" s="10">
        <f>IF(Loan_C07_Discount="FUNDING",Loan_FundingPricer,Loan_RiskFreePricer)</f>
        <v/>
      </c>
      <c r="C175" s="7" t="s">
        <v>210</v>
      </c>
    </row>
    <row r="176" spans="1:3" ht="33.75" customHeight="1">
      <c r="A176" s="14" t="str">
        <f>SUBSTITUTE(_xlfn.FORMULATEXT(B175),",",", ")</f>
        <v>=IF(Loan_C07_Discount="FUNDING", Loan_FundingPricer, Loan_RiskFreePricer)</v>
      </c>
      <c r="B176" s="14"/>
      <c r="C176" s="14"/>
    </row>
    <row r="178" spans="1:3" ht="38.25" customHeight="1">
      <c r="A178" s="4" t="s">
        <v>211</v>
      </c>
      <c r="B178" s="10" cm="1" t="str">
        <f t="array" ref="B178">_xll.QS.EVALUATE("Loan.C07.Result",Loan_C07_Pricer,Loan_C07_Trade,Loan_Context,Loan_Requests)</f>
        <v/>
      </c>
      <c r="C178" s="7" t="s">
        <v>212</v>
      </c>
    </row>
    <row r="179" spans="1:3" ht="33.75" customHeight="1">
      <c r="A179" s="14" t="str">
        <f>SUBSTITUTE(_xlfn.FORMULATEXT(B178),",",", ")</f>
        <v>=QS.EVALUATE("Loan.C07.Result", Loan_C07_Pricer, Loan_C07_Trade, Loan_Context, Loan_Requests)</v>
      </c>
      <c r="B179" s="14"/>
      <c r="C179" s="14"/>
    </row>
    <row r="181" spans="1:3" ht="38.25" customHeight="1">
      <c r="A181" s="4" t="s">
        <v>213</v>
      </c>
      <c r="B181" s="10" cm="1" t="str">
        <f t="array" ref="B181">_xll.QS.EVALUATE("Loan.C07.Fair0",Loan_C07_Pricer,Loan_C07_Trade,Loan_Context,Loan_Request0)</f>
        <v/>
      </c>
      <c r="C181" s="7" t="s">
        <v>214</v>
      </c>
    </row>
    <row r="182" spans="1:3" ht="33.75" customHeight="1">
      <c r="A182" s="14" t="str">
        <f>SUBSTITUTE(_xlfn.FORMULATEXT(B181),",",", ")</f>
        <v>=QS.EVALUATE("Loan.C07.Fair0", Loan_C07_Pricer, Loan_C07_Trade, Loan_Context, Loan_Request0)</v>
      </c>
      <c r="B182" s="14"/>
      <c r="C182" s="14"/>
    </row>
    <row r="186" spans="1:3" ht="24" customHeight="1">
      <c r="A186" s="4" t="s">
        <v>122</v>
      </c>
      <c r="B186" s="4"/>
      <c r="C186" s="4"/>
    </row>
    <row r="187" spans="1:3" ht="24" customHeight="1">
      <c r="A187" s="6" t="s">
        <v>205</v>
      </c>
    </row>
    <row r="189" spans="1:3" ht="38.25" customHeight="1">
      <c r="A189" s="4" t="s">
        <v>215</v>
      </c>
      <c r="B189" s="10" cm="1" t="str">
        <f t="array" ref="B189">_xll.QS.LOAN.SETTINGS("Loan.C08.Options",,,INDEX(Loan_C08_Settings,2,2),INDEX(Loan_C08_Settings,3,2))</f>
        <v/>
      </c>
      <c r="C189" s="7" t="s">
        <v>216</v>
      </c>
    </row>
    <row r="190" spans="1:3" ht="33.75" customHeight="1">
      <c r="A190" s="14" t="str">
        <f>SUBSTITUTE(_xlfn.FORMULATEXT(B189),",",", ")</f>
        <v>=QS.LOAN.SETTINGS("Loan.C08.Options", , , INDEX(Loan_C08_Settings, 2, 2), INDEX(Loan_C08_Settings, 3, 2))</v>
      </c>
      <c r="B190" s="14"/>
      <c r="C190" s="14"/>
    </row>
    <row r="192" spans="1:3" ht="38.25" customHeight="1">
      <c r="A192" s="4" t="s">
        <v>206</v>
      </c>
      <c r="B192" s="10" cm="1" t="str">
        <f t="array" ref="B192">_xll.QS.INSTRUMENT.LOAN("Loan.C08.Instrument",Loan_Start,Loan_Maturity,Loan_Currency,Loan_Notional,Loan_C08_Rate,Loan_C08_Index,Loan_C08_Repayment,Loan_Frequency,Loan_DayCounter,Loan_C08_Options,)</f>
        <v/>
      </c>
      <c r="C192" s="7" t="s">
        <v>123</v>
      </c>
    </row>
    <row r="193" spans="1:3" ht="48" customHeight="1">
      <c r="A193" s="14" t="str">
        <f>SUBSTITUTE(_xlfn.FORMULATEXT(B192),",",", ")</f>
        <v>=QS.INSTRUMENT.LOAN("Loan.C08.Instrument", Loan_Start, Loan_Maturity, Loan_Currency, Loan_Notional, Loan_C08_Rate, Loan_C08_Index, Loan_C08_Repayment, Loan_Frequency, Loan_DayCounter, Loan_C08_Options, )</v>
      </c>
      <c r="B193" s="14"/>
      <c r="C193" s="14"/>
    </row>
    <row r="195" spans="1:3" ht="38.25" customHeight="1">
      <c r="A195" s="4" t="s">
        <v>207</v>
      </c>
      <c r="B195" s="10" cm="1" t="str">
        <f t="array" ref="B195">_xll.QS.TRADE.CREATE("Loan.C08.Trade",Loan_C08_Instrument,Loan_ValuationDate,Loan_Side)</f>
        <v/>
      </c>
      <c r="C195" s="7" t="s">
        <v>208</v>
      </c>
    </row>
    <row r="196" spans="1:3" ht="33.75" customHeight="1">
      <c r="A196" s="14" t="str">
        <f>SUBSTITUTE(_xlfn.FORMULATEXT(B195),",",", ")</f>
        <v>=QS.TRADE.CREATE("Loan.C08.Trade", Loan_C08_Instrument, Loan_ValuationDate, Loan_Side)</v>
      </c>
      <c r="B196" s="14"/>
      <c r="C196" s="14"/>
    </row>
    <row r="198" spans="1:3" ht="38.25" customHeight="1">
      <c r="A198" s="4" t="s">
        <v>209</v>
      </c>
      <c r="B198" s="10">
        <f>IF(Loan_C08_Discount="FUNDING",Loan_FundingPricer,Loan_RiskFreePricer)</f>
        <v/>
      </c>
      <c r="C198" s="7" t="s">
        <v>210</v>
      </c>
    </row>
    <row r="199" spans="1:3" ht="33.75" customHeight="1">
      <c r="A199" s="14" t="str">
        <f>SUBSTITUTE(_xlfn.FORMULATEXT(B198),",",", ")</f>
        <v>=IF(Loan_C08_Discount="FUNDING", Loan_FundingPricer, Loan_RiskFreePricer)</v>
      </c>
      <c r="B199" s="14"/>
      <c r="C199" s="14"/>
    </row>
    <row r="201" spans="1:3" ht="38.25" customHeight="1">
      <c r="A201" s="4" t="s">
        <v>211</v>
      </c>
      <c r="B201" s="10" cm="1" t="str">
        <f t="array" ref="B201">_xll.QS.EVALUATE("Loan.C08.Result",Loan_C08_Pricer,Loan_C08_Trade,Loan_Context,Loan_Requests)</f>
        <v/>
      </c>
      <c r="C201" s="7" t="s">
        <v>212</v>
      </c>
    </row>
    <row r="202" spans="1:3" ht="33.75" customHeight="1">
      <c r="A202" s="14" t="str">
        <f>SUBSTITUTE(_xlfn.FORMULATEXT(B201),",",", ")</f>
        <v>=QS.EVALUATE("Loan.C08.Result", Loan_C08_Pricer, Loan_C08_Trade, Loan_Context, Loan_Requests)</v>
      </c>
      <c r="B202" s="14"/>
      <c r="C202" s="14"/>
    </row>
    <row r="204" spans="1:3" ht="38.25" customHeight="1">
      <c r="A204" s="4" t="s">
        <v>213</v>
      </c>
      <c r="B204" s="10" cm="1" t="str">
        <f t="array" ref="B204">_xll.QS.EVALUATE("Loan.C08.Fair0",Loan_C08_Pricer,Loan_C08_Trade,Loan_Context,Loan_Request0)</f>
        <v/>
      </c>
      <c r="C204" s="7" t="s">
        <v>214</v>
      </c>
    </row>
    <row r="205" spans="1:3" ht="33.75" customHeight="1">
      <c r="A205" s="14" t="str">
        <f>SUBSTITUTE(_xlfn.FORMULATEXT(B204),",",", ")</f>
        <v>=QS.EVALUATE("Loan.C08.Fair0", Loan_C08_Pricer, Loan_C08_Trade, Loan_Context, Loan_Request0)</v>
      </c>
      <c r="B205" s="14"/>
      <c r="C205" s="14"/>
    </row>
    <row r="209" spans="1:3" ht="24" customHeight="1">
      <c r="A209" s="4" t="s">
        <v>127</v>
      </c>
      <c r="B209" s="4"/>
      <c r="C209" s="4"/>
    </row>
    <row r="210" spans="1:3" ht="24" customHeight="1">
      <c r="A210" s="6" t="s">
        <v>205</v>
      </c>
    </row>
    <row r="212" spans="1:3" ht="38.25" customHeight="1">
      <c r="A212" s="4" t="s">
        <v>206</v>
      </c>
      <c r="B212" s="10" cm="1" t="str">
        <f t="array" ref="B212">_xll.QS.INSTRUMENT.LOAN("Loan.C09.Instrument",Loan_Start,Loan_Maturity,Loan_Currency,Loan_Notional,Loan_C09_Rate,Loan_C09_Index,Loan_C09_Repayment,Loan_Frequency,Loan_DayCounter,,)</f>
        <v/>
      </c>
      <c r="C212" s="7" t="s">
        <v>128</v>
      </c>
    </row>
    <row r="213" spans="1:3" ht="48" customHeight="1">
      <c r="A213" s="14" t="str">
        <f>SUBSTITUTE(_xlfn.FORMULATEXT(B212),",",", ")</f>
        <v>=QS.INSTRUMENT.LOAN("Loan.C09.Instrument", Loan_Start, Loan_Maturity, Loan_Currency, Loan_Notional, Loan_C09_Rate, Loan_C09_Index, Loan_C09_Repayment, Loan_Frequency, Loan_DayCounter, , )</v>
      </c>
      <c r="B213" s="14"/>
      <c r="C213" s="14"/>
    </row>
    <row r="215" spans="1:3" ht="38.25" customHeight="1">
      <c r="A215" s="4" t="s">
        <v>207</v>
      </c>
      <c r="B215" s="10" cm="1" t="str">
        <f t="array" ref="B215">_xll.QS.TRADE.CREATE("Loan.C09.Trade",Loan_C09_Instrument,Loan_ValuationDate,Loan_Side)</f>
        <v/>
      </c>
      <c r="C215" s="7" t="s">
        <v>208</v>
      </c>
    </row>
    <row r="216" spans="1:3" ht="33.75" customHeight="1">
      <c r="A216" s="14" t="str">
        <f>SUBSTITUTE(_xlfn.FORMULATEXT(B215),",",", ")</f>
        <v>=QS.TRADE.CREATE("Loan.C09.Trade", Loan_C09_Instrument, Loan_ValuationDate, Loan_Side)</v>
      </c>
      <c r="B216" s="14"/>
      <c r="C216" s="14"/>
    </row>
    <row r="218" spans="1:3" ht="38.25" customHeight="1">
      <c r="A218" s="4" t="s">
        <v>209</v>
      </c>
      <c r="B218" s="10">
        <f>IF(Loan_C09_Discount="FUNDING",Loan_FundingPricer,Loan_RiskFreePricer)</f>
        <v/>
      </c>
      <c r="C218" s="7" t="s">
        <v>210</v>
      </c>
    </row>
    <row r="219" spans="1:3" ht="33.75" customHeight="1">
      <c r="A219" s="14" t="str">
        <f>SUBSTITUTE(_xlfn.FORMULATEXT(B218),",",", ")</f>
        <v>=IF(Loan_C09_Discount="FUNDING", Loan_FundingPricer, Loan_RiskFreePricer)</v>
      </c>
      <c r="B219" s="14"/>
      <c r="C219" s="14"/>
    </row>
    <row r="221" spans="1:3" ht="38.25" customHeight="1">
      <c r="A221" s="4" t="s">
        <v>211</v>
      </c>
      <c r="B221" s="10" cm="1" t="str">
        <f t="array" ref="B221">_xll.QS.EVALUATE("Loan.C09.Result",Loan_C09_Pricer,Loan_C09_Trade,Loan_Context,Loan_Requests)</f>
        <v/>
      </c>
      <c r="C221" s="7" t="s">
        <v>212</v>
      </c>
    </row>
    <row r="222" spans="1:3" ht="33.75" customHeight="1">
      <c r="A222" s="14" t="str">
        <f>SUBSTITUTE(_xlfn.FORMULATEXT(B221),",",", ")</f>
        <v>=QS.EVALUATE("Loan.C09.Result", Loan_C09_Pricer, Loan_C09_Trade, Loan_Context, Loan_Requests)</v>
      </c>
      <c r="B222" s="14"/>
      <c r="C222" s="14"/>
    </row>
    <row r="224" spans="1:3" ht="38.25" customHeight="1">
      <c r="A224" s="4" t="s">
        <v>213</v>
      </c>
      <c r="B224" s="10" cm="1" t="str">
        <f t="array" ref="B224">_xll.QS.EVALUATE("Loan.C09.Fair0",Loan_C09_Pricer,Loan_C09_Trade,Loan_Context,Loan_Request0)</f>
        <v/>
      </c>
      <c r="C224" s="7" t="s">
        <v>214</v>
      </c>
    </row>
    <row r="225" spans="1:3" ht="33.75" customHeight="1">
      <c r="A225" s="14" t="str">
        <f>SUBSTITUTE(_xlfn.FORMULATEXT(B224),",",", ")</f>
        <v>=QS.EVALUATE("Loan.C09.Fair0", Loan_C09_Pricer, Loan_C09_Trade, Loan_Context, Loan_Request0)</v>
      </c>
      <c r="B225" s="14"/>
      <c r="C225" s="14"/>
    </row>
    <row r="229" spans="1:3" ht="24" customHeight="1">
      <c r="A229" s="4" t="s">
        <v>129</v>
      </c>
      <c r="B229" s="4"/>
      <c r="C229" s="4"/>
    </row>
    <row r="230" spans="1:3" ht="24" customHeight="1">
      <c r="A230" s="6" t="s">
        <v>205</v>
      </c>
    </row>
    <row r="232" spans="1:3" ht="38.25" customHeight="1">
      <c r="A232" s="4" t="s">
        <v>215</v>
      </c>
      <c r="B232" s="10" cm="1" t="str">
        <f t="array" ref="B232">_xll.QS.LOAN.SETTINGS("Loan.C10.Options",,INDEX(Loan_C10_Settings,2,2))</f>
        <v/>
      </c>
      <c r="C232" s="7" t="s">
        <v>216</v>
      </c>
    </row>
    <row r="233" spans="1:3" ht="33.75" customHeight="1">
      <c r="A233" s="14" t="str">
        <f>SUBSTITUTE(_xlfn.FORMULATEXT(B232),",",", ")</f>
        <v>=QS.LOAN.SETTINGS("Loan.C10.Options", , INDEX(Loan_C10_Settings, 2, 2))</v>
      </c>
      <c r="B233" s="14"/>
      <c r="C233" s="14"/>
    </row>
    <row r="235" spans="1:3" ht="38.25" customHeight="1">
      <c r="A235" s="4" t="s">
        <v>206</v>
      </c>
      <c r="B235" s="10" cm="1" t="str">
        <f t="array" ref="B235">_xll.QS.INSTRUMENT.LOAN("Loan.C10.Instrument",Loan_Start,Loan_Maturity,Loan_Currency,Loan_Notional,Loan_C10_Rate,Loan_C10_Index,Loan_C10_Repayment,Loan_Frequency,Loan_DayCounter,Loan_C10_Options,)</f>
        <v/>
      </c>
      <c r="C235" s="7" t="s">
        <v>130</v>
      </c>
    </row>
    <row r="236" spans="1:3" ht="48" customHeight="1">
      <c r="A236" s="14" t="str">
        <f>SUBSTITUTE(_xlfn.FORMULATEXT(B235),",",", ")</f>
        <v>=QS.INSTRUMENT.LOAN("Loan.C10.Instrument", Loan_Start, Loan_Maturity, Loan_Currency, Loan_Notional, Loan_C10_Rate, Loan_C10_Index, Loan_C10_Repayment, Loan_Frequency, Loan_DayCounter, Loan_C10_Options, )</v>
      </c>
      <c r="B236" s="14"/>
      <c r="C236" s="14"/>
    </row>
    <row r="238" spans="1:3" ht="38.25" customHeight="1">
      <c r="A238" s="4" t="s">
        <v>207</v>
      </c>
      <c r="B238" s="10" cm="1" t="str">
        <f t="array" ref="B238">_xll.QS.TRADE.CREATE("Loan.C10.Trade",Loan_C10_Instrument,Loan_ValuationDate,Loan_Side)</f>
        <v/>
      </c>
      <c r="C238" s="7" t="s">
        <v>208</v>
      </c>
    </row>
    <row r="239" spans="1:3" ht="33.75" customHeight="1">
      <c r="A239" s="14" t="str">
        <f>SUBSTITUTE(_xlfn.FORMULATEXT(B238),",",", ")</f>
        <v>=QS.TRADE.CREATE("Loan.C10.Trade", Loan_C10_Instrument, Loan_ValuationDate, Loan_Side)</v>
      </c>
      <c r="B239" s="14"/>
      <c r="C239" s="14"/>
    </row>
    <row r="241" spans="1:3" ht="38.25" customHeight="1">
      <c r="A241" s="4" t="s">
        <v>209</v>
      </c>
      <c r="B241" s="10">
        <f>IF(Loan_C10_Discount="FUNDING",Loan_FundingPricer,Loan_RiskFreePricer)</f>
        <v/>
      </c>
      <c r="C241" s="7" t="s">
        <v>210</v>
      </c>
    </row>
    <row r="242" spans="1:3" ht="33.75" customHeight="1">
      <c r="A242" s="14" t="str">
        <f>SUBSTITUTE(_xlfn.FORMULATEXT(B241),",",", ")</f>
        <v>=IF(Loan_C10_Discount="FUNDING", Loan_FundingPricer, Loan_RiskFreePricer)</v>
      </c>
      <c r="B242" s="14"/>
      <c r="C242" s="14"/>
    </row>
    <row r="244" spans="1:3" ht="38.25" customHeight="1">
      <c r="A244" s="4" t="s">
        <v>211</v>
      </c>
      <c r="B244" s="10" cm="1" t="str">
        <f t="array" ref="B244">_xll.QS.EVALUATE("Loan.C10.Result",Loan_C10_Pricer,Loan_C10_Trade,Loan_Context,Loan_Requests)</f>
        <v/>
      </c>
      <c r="C244" s="7" t="s">
        <v>212</v>
      </c>
    </row>
    <row r="245" spans="1:3" ht="33.75" customHeight="1">
      <c r="A245" s="14" t="str">
        <f>SUBSTITUTE(_xlfn.FORMULATEXT(B244),",",", ")</f>
        <v>=QS.EVALUATE("Loan.C10.Result", Loan_C10_Pricer, Loan_C10_Trade, Loan_Context, Loan_Requests)</v>
      </c>
      <c r="B245" s="14"/>
      <c r="C245" s="14"/>
    </row>
    <row r="247" spans="1:3" ht="38.25" customHeight="1">
      <c r="A247" s="4" t="s">
        <v>213</v>
      </c>
      <c r="B247" s="10" cm="1" t="str">
        <f t="array" ref="B247">_xll.QS.EVALUATE("Loan.C10.Fair0",Loan_C10_Pricer,Loan_C10_Trade,Loan_Context,Loan_Request0)</f>
        <v/>
      </c>
      <c r="C247" s="7" t="s">
        <v>214</v>
      </c>
    </row>
    <row r="248" spans="1:3" ht="33.75" customHeight="1">
      <c r="A248" s="14" t="str">
        <f>SUBSTITUTE(_xlfn.FORMULATEXT(B247),",",", ")</f>
        <v>=QS.EVALUATE("Loan.C10.Fair0", Loan_C10_Pricer, Loan_C10_Trade, Loan_Context, Loan_Request0)</v>
      </c>
      <c r="B248" s="14"/>
      <c r="C248" s="14"/>
    </row>
    <row r="252" spans="1:3" ht="24" customHeight="1">
      <c r="A252" s="4" t="s">
        <v>131</v>
      </c>
      <c r="B252" s="4"/>
      <c r="C252" s="4"/>
    </row>
    <row r="253" spans="1:3" ht="24" customHeight="1">
      <c r="A253" s="6" t="s">
        <v>205</v>
      </c>
    </row>
    <row r="255" spans="1:3" ht="38.25" customHeight="1">
      <c r="A255" s="4" t="s">
        <v>206</v>
      </c>
      <c r="B255" s="10" cm="1" t="str">
        <f t="array" ref="B255">_xll.QS.INSTRUMENT.LOAN("Loan.C11.Instrument",Loan_Start,Loan_Maturity,Loan_Currency,Loan_Notional,Loan_C11_Rate,Loan_C11_Index,Loan_C11_Repayment,Loan_Frequency,Loan_DayCounter,,Loan_C11_Coupons)</f>
        <v/>
      </c>
      <c r="C255" s="7" t="s">
        <v>132</v>
      </c>
    </row>
    <row r="256" spans="1:3" ht="48" customHeight="1">
      <c r="A256" s="14" t="str">
        <f>SUBSTITUTE(_xlfn.FORMULATEXT(B255),",",", ")</f>
        <v>=QS.INSTRUMENT.LOAN("Loan.C11.Instrument", Loan_Start, Loan_Maturity, Loan_Currency, Loan_Notional, Loan_C11_Rate, Loan_C11_Index, Loan_C11_Repayment, Loan_Frequency, Loan_DayCounter, , Loan_C11_Coupons)</v>
      </c>
      <c r="B256" s="14"/>
      <c r="C256" s="14"/>
    </row>
    <row r="258" spans="1:3" ht="38.25" customHeight="1">
      <c r="A258" s="4" t="s">
        <v>207</v>
      </c>
      <c r="B258" s="10" cm="1" t="str">
        <f t="array" ref="B258">_xll.QS.TRADE.CREATE("Loan.C11.Trade",Loan_C11_Instrument,Loan_ValuationDate,Loan_Side)</f>
        <v/>
      </c>
      <c r="C258" s="7" t="s">
        <v>208</v>
      </c>
    </row>
    <row r="259" spans="1:3" ht="33.75" customHeight="1">
      <c r="A259" s="14" t="str">
        <f>SUBSTITUTE(_xlfn.FORMULATEXT(B258),",",", ")</f>
        <v>=QS.TRADE.CREATE("Loan.C11.Trade", Loan_C11_Instrument, Loan_ValuationDate, Loan_Side)</v>
      </c>
      <c r="B259" s="14"/>
      <c r="C259" s="14"/>
    </row>
    <row r="261" spans="1:3" ht="38.25" customHeight="1">
      <c r="A261" s="4" t="s">
        <v>209</v>
      </c>
      <c r="B261" s="10">
        <f>IF(Loan_C11_Discount="FUNDING",Loan_FundingPricer,Loan_RiskFreePricer)</f>
        <v/>
      </c>
      <c r="C261" s="7" t="s">
        <v>210</v>
      </c>
    </row>
    <row r="262" spans="1:3" ht="33.75" customHeight="1">
      <c r="A262" s="14" t="str">
        <f>SUBSTITUTE(_xlfn.FORMULATEXT(B261),",",", ")</f>
        <v>=IF(Loan_C11_Discount="FUNDING", Loan_FundingPricer, Loan_RiskFreePricer)</v>
      </c>
      <c r="B262" s="14"/>
      <c r="C262" s="14"/>
    </row>
    <row r="264" spans="1:3" ht="38.25" customHeight="1">
      <c r="A264" s="4" t="s">
        <v>211</v>
      </c>
      <c r="B264" s="10" cm="1" t="str">
        <f t="array" ref="B264">_xll.QS.EVALUATE("Loan.C11.Result",Loan_C11_Pricer,Loan_C11_Trade,Loan_Context,Loan_Requests)</f>
        <v/>
      </c>
      <c r="C264" s="7" t="s">
        <v>212</v>
      </c>
    </row>
    <row r="265" spans="1:3" ht="33.75" customHeight="1">
      <c r="A265" s="14" t="str">
        <f>SUBSTITUTE(_xlfn.FORMULATEXT(B264),",",", ")</f>
        <v>=QS.EVALUATE("Loan.C11.Result", Loan_C11_Pricer, Loan_C11_Trade, Loan_Context, Loan_Requests)</v>
      </c>
      <c r="B265" s="14"/>
      <c r="C265" s="14"/>
    </row>
    <row r="267" spans="1:3" ht="38.25" customHeight="1">
      <c r="A267" s="4" t="s">
        <v>213</v>
      </c>
      <c r="B267" s="10" cm="1" t="str">
        <f t="array" ref="B267">_xll.QS.EVALUATE("Loan.C11.Fair0",Loan_C11_Pricer,Loan_C11_Trade,Loan_Context,Loan_Request0)</f>
        <v/>
      </c>
      <c r="C267" s="7" t="s">
        <v>214</v>
      </c>
    </row>
    <row r="268" spans="1:3" ht="33.75" customHeight="1">
      <c r="A268" s="14" t="str">
        <f>SUBSTITUTE(_xlfn.FORMULATEXT(B267),",",", ")</f>
        <v>=QS.EVALUATE("Loan.C11.Fair0", Loan_C11_Pricer, Loan_C11_Trade, Loan_Context, Loan_Request0)</v>
      </c>
      <c r="B268" s="14"/>
      <c r="C268" s="14"/>
    </row>
    <row r="270" spans="1:3" ht="38.25" customHeight="1">
      <c r="A270" s="4" t="s">
        <v>217</v>
      </c>
      <c r="B270" s="10" cm="1" t="str">
        <f t="array" ref="B270">_xll.QS.EVALUATE("Loan.C11.Fair1",Loan_C11_Pricer,Loan_C11_Trade,Loan_Context,Loan_Request1)</f>
        <v/>
      </c>
      <c r="C270" s="7" t="s">
        <v>214</v>
      </c>
    </row>
    <row r="271" spans="1:3" ht="33.75" customHeight="1">
      <c r="A271" s="14" t="str">
        <f>SUBSTITUTE(_xlfn.FORMULATEXT(B270),",",", ")</f>
        <v>=QS.EVALUATE("Loan.C11.Fair1", Loan_C11_Pricer, Loan_C11_Trade, Loan_Context, Loan_Request1)</v>
      </c>
      <c r="B271" s="14"/>
      <c r="C271" s="14"/>
    </row>
    <row r="273" spans="1:3" ht="38.25" customHeight="1">
      <c r="A273" s="4" t="s">
        <v>218</v>
      </c>
      <c r="B273" s="10" cm="1" t="str">
        <f t="array" ref="B273">_xll.QS.EVALUATE("Loan.C11.Fair2",Loan_C11_Pricer,Loan_C11_Trade,Loan_Context,Loan_Request2)</f>
        <v/>
      </c>
      <c r="C273" s="7" t="s">
        <v>214</v>
      </c>
    </row>
    <row r="274" spans="1:3" ht="33.75" customHeight="1">
      <c r="A274" s="14" t="str">
        <f>SUBSTITUTE(_xlfn.FORMULATEXT(B273),",",", ")</f>
        <v>=QS.EVALUATE("Loan.C11.Fair2", Loan_C11_Pricer, Loan_C11_Trade, Loan_Context, Loan_Request2)</v>
      </c>
      <c r="B274" s="14"/>
      <c r="C274" s="14"/>
    </row>
    <row r="278" spans="1:3" ht="24" customHeight="1">
      <c r="A278" s="4" t="s">
        <v>133</v>
      </c>
      <c r="B278" s="4"/>
      <c r="C278" s="4"/>
    </row>
    <row r="279" spans="1:3" ht="24" customHeight="1">
      <c r="A279" s="6" t="s">
        <v>205</v>
      </c>
    </row>
    <row r="281" spans="1:3" ht="38.25" customHeight="1">
      <c r="A281" s="4" t="s">
        <v>206</v>
      </c>
      <c r="B281" s="10" cm="1" t="str">
        <f t="array" ref="B281">_xll.QS.INSTRUMENT.LOAN("Loan.C12.Instrument",Loan_Start,Loan_Maturity,Loan_Currency,Loan_Notional,Loan_C12_Rate,Loan_C12_Index,Loan_C12_Repayment,Loan_Frequency,Loan_DayCounter,,Loan_C12_Coupons)</f>
        <v/>
      </c>
      <c r="C281" s="7" t="s">
        <v>134</v>
      </c>
    </row>
    <row r="282" spans="1:3" ht="48" customHeight="1">
      <c r="A282" s="14" t="str">
        <f>SUBSTITUTE(_xlfn.FORMULATEXT(B281),",",", ")</f>
        <v>=QS.INSTRUMENT.LOAN("Loan.C12.Instrument", Loan_Start, Loan_Maturity, Loan_Currency, Loan_Notional, Loan_C12_Rate, Loan_C12_Index, Loan_C12_Repayment, Loan_Frequency, Loan_DayCounter, , Loan_C12_Coupons)</v>
      </c>
      <c r="B282" s="14"/>
      <c r="C282" s="14"/>
    </row>
    <row r="284" spans="1:3" ht="38.25" customHeight="1">
      <c r="A284" s="4" t="s">
        <v>207</v>
      </c>
      <c r="B284" s="10" cm="1" t="str">
        <f t="array" ref="B284">_xll.QS.TRADE.CREATE("Loan.C12.Trade",Loan_C12_Instrument,Loan_ValuationDate,Loan_Side)</f>
        <v/>
      </c>
      <c r="C284" s="7" t="s">
        <v>208</v>
      </c>
    </row>
    <row r="285" spans="1:3" ht="33.75" customHeight="1">
      <c r="A285" s="14" t="str">
        <f>SUBSTITUTE(_xlfn.FORMULATEXT(B284),",",", ")</f>
        <v>=QS.TRADE.CREATE("Loan.C12.Trade", Loan_C12_Instrument, Loan_ValuationDate, Loan_Side)</v>
      </c>
      <c r="B285" s="14"/>
      <c r="C285" s="14"/>
    </row>
    <row r="287" spans="1:3" ht="38.25" customHeight="1">
      <c r="A287" s="4" t="s">
        <v>209</v>
      </c>
      <c r="B287" s="10">
        <f>IF(Loan_C12_Discount="FUNDING",Loan_FundingPricer,Loan_RiskFreePricer)</f>
        <v/>
      </c>
      <c r="C287" s="7" t="s">
        <v>210</v>
      </c>
    </row>
    <row r="288" spans="1:3" ht="33.75" customHeight="1">
      <c r="A288" s="14" t="str">
        <f>SUBSTITUTE(_xlfn.FORMULATEXT(B287),",",", ")</f>
        <v>=IF(Loan_C12_Discount="FUNDING", Loan_FundingPricer, Loan_RiskFreePricer)</v>
      </c>
      <c r="B288" s="14"/>
      <c r="C288" s="14"/>
    </row>
    <row r="290" spans="1:3" ht="38.25" customHeight="1">
      <c r="A290" s="4" t="s">
        <v>211</v>
      </c>
      <c r="B290" s="10" cm="1" t="str">
        <f t="array" ref="B290">_xll.QS.EVALUATE("Loan.C12.Result",Loan_C12_Pricer,Loan_C12_Trade,Loan_Context,Loan_Requests)</f>
        <v/>
      </c>
      <c r="C290" s="7" t="s">
        <v>212</v>
      </c>
    </row>
    <row r="291" spans="1:3" ht="33.75" customHeight="1">
      <c r="A291" s="14" t="str">
        <f>SUBSTITUTE(_xlfn.FORMULATEXT(B290),",",", ")</f>
        <v>=QS.EVALUATE("Loan.C12.Result", Loan_C12_Pricer, Loan_C12_Trade, Loan_Context, Loan_Requests)</v>
      </c>
      <c r="B291" s="14"/>
      <c r="C291" s="14"/>
    </row>
    <row r="293" spans="1:3" ht="38.25" customHeight="1">
      <c r="A293" s="4" t="s">
        <v>213</v>
      </c>
      <c r="B293" s="10" cm="1" t="str">
        <f t="array" ref="B293">_xll.QS.EVALUATE("Loan.C12.Fair0",Loan_C12_Pricer,Loan_C12_Trade,Loan_Context,Loan_Request0)</f>
        <v/>
      </c>
      <c r="C293" s="7" t="s">
        <v>214</v>
      </c>
    </row>
    <row r="294" spans="1:3" ht="33.75" customHeight="1">
      <c r="A294" s="14" t="str">
        <f>SUBSTITUTE(_xlfn.FORMULATEXT(B293),",",", ")</f>
        <v>=QS.EVALUATE("Loan.C12.Fair0", Loan_C12_Pricer, Loan_C12_Trade, Loan_Context, Loan_Request0)</v>
      </c>
      <c r="B294" s="14"/>
      <c r="C294" s="14"/>
    </row>
    <row r="296" spans="1:3" ht="38.25" customHeight="1">
      <c r="A296" s="4" t="s">
        <v>217</v>
      </c>
      <c r="B296" s="10" cm="1" t="str">
        <f t="array" ref="B296">_xll.QS.EVALUATE("Loan.C12.Fair1",Loan_C12_Pricer,Loan_C12_Trade,Loan_Context,Loan_Request1)</f>
        <v/>
      </c>
      <c r="C296" s="7" t="s">
        <v>214</v>
      </c>
    </row>
    <row r="297" spans="1:3" ht="33.75" customHeight="1">
      <c r="A297" s="14" t="str">
        <f>SUBSTITUTE(_xlfn.FORMULATEXT(B296),",",", ")</f>
        <v>=QS.EVALUATE("Loan.C12.Fair1", Loan_C12_Pricer, Loan_C12_Trade, Loan_Context, Loan_Request1)</v>
      </c>
      <c r="B297" s="14"/>
      <c r="C297" s="14"/>
    </row>
    <row r="299" spans="1:3" ht="38.25" customHeight="1">
      <c r="A299" s="4" t="s">
        <v>218</v>
      </c>
      <c r="B299" s="10" cm="1" t="str">
        <f t="array" ref="B299">_xll.QS.EVALUATE("Loan.C12.Fair2",Loan_C12_Pricer,Loan_C12_Trade,Loan_Context,Loan_Request2)</f>
        <v/>
      </c>
      <c r="C299" s="7" t="s">
        <v>214</v>
      </c>
    </row>
    <row r="300" spans="1:3" ht="33.75" customHeight="1">
      <c r="A300" s="14" t="str">
        <f>SUBSTITUTE(_xlfn.FORMULATEXT(B299),",",", ")</f>
        <v>=QS.EVALUATE("Loan.C12.Fair2", Loan_C12_Pricer, Loan_C12_Trade, Loan_Context, Loan_Request2)</v>
      </c>
      <c r="B300" s="14"/>
      <c r="C300" s="14"/>
    </row>
    <row r="304" spans="1:3" ht="36" customHeight="1">
      <c r="A304" s="5" t="s">
        <v>243</v>
      </c>
      <c r="B304" s="5" t="s">
        <v>244</v>
      </c>
      <c r="C304" s="5"/>
    </row>
    <row r="305" spans="1:3" ht="24" customHeight="1">
      <c r="A305" s="1" t="s">
        <v>93</v>
      </c>
      <c r="B305" s="10">
        <f>Loan_C01_Result</f>
        <v/>
      </c>
    </row>
    <row r="306" spans="1:3" ht="24" customHeight="1">
      <c r="A306" s="1" t="s">
        <v>99</v>
      </c>
      <c r="B306" s="10">
        <f>Loan_C02_Result</f>
        <v/>
      </c>
    </row>
    <row r="307" spans="1:3" ht="24" customHeight="1">
      <c r="A307" s="1" t="s">
        <v>232</v>
      </c>
      <c r="B307" s="10">
        <f>Loan_C03_Result</f>
        <v/>
      </c>
    </row>
    <row r="308" spans="1:3" ht="24" customHeight="1">
      <c r="A308" s="1" t="s">
        <v>233</v>
      </c>
      <c r="B308" s="10">
        <f>Loan_C04_Result</f>
        <v/>
      </c>
    </row>
    <row r="309" spans="1:3" ht="24" customHeight="1">
      <c r="A309" s="1" t="s">
        <v>234</v>
      </c>
      <c r="B309" s="10">
        <f>Loan_C05_Result</f>
        <v/>
      </c>
    </row>
    <row r="310" spans="1:3" ht="24" customHeight="1">
      <c r="A310" s="1" t="s">
        <v>235</v>
      </c>
      <c r="B310" s="10">
        <f>Loan_C06_Result</f>
        <v/>
      </c>
    </row>
    <row r="311" spans="1:3" ht="24" customHeight="1">
      <c r="A311" s="1" t="s">
        <v>237</v>
      </c>
      <c r="B311" s="10">
        <f>Loan_C07_Result</f>
        <v/>
      </c>
    </row>
    <row r="312" spans="1:3" ht="24" customHeight="1">
      <c r="A312" s="1" t="s">
        <v>238</v>
      </c>
      <c r="B312" s="10">
        <f>Loan_C08_Result</f>
        <v/>
      </c>
    </row>
    <row r="313" spans="1:3" ht="24" customHeight="1">
      <c r="A313" s="1" t="s">
        <v>239</v>
      </c>
      <c r="B313" s="10">
        <f>Loan_C09_Result</f>
        <v/>
      </c>
    </row>
    <row r="314" spans="1:3" ht="24" customHeight="1">
      <c r="A314" s="1" t="s">
        <v>240</v>
      </c>
      <c r="B314" s="10">
        <f>Loan_C10_Result</f>
        <v/>
      </c>
    </row>
    <row r="315" spans="1:3" ht="24" customHeight="1">
      <c r="A315" s="1" t="s">
        <v>241</v>
      </c>
      <c r="B315" s="10">
        <f>Loan_C11_Result</f>
        <v/>
      </c>
    </row>
    <row r="316" spans="1:3" ht="24" customHeight="1">
      <c r="A316" s="1" t="s">
        <v>242</v>
      </c>
      <c r="B316" s="10">
        <f>Loan_C12_Result</f>
        <v/>
      </c>
    </row>
    <row r="319" spans="1:3" ht="38.25" customHeight="1">
      <c r="A319" s="4" t="s">
        <v>247</v>
      </c>
      <c r="B319" s="10">
        <f>INDEX(Loan_ResultHandles,MATCH(Loan_SelectedCase,Loan_CaseNames,0))</f>
        <v/>
      </c>
      <c r="C319" s="7" t="s">
        <v>248</v>
      </c>
    </row>
    <row r="320" spans="1:3" ht="33.75" customHeight="1">
      <c r="A320" s="14" t="str">
        <f>SUBSTITUTE(_xlfn.FORMULATEXT(B319),",",", ")</f>
        <v>=INDEX(Loan_ResultHandles, MATCH(Loan_SelectedCase, Loan_CaseNames, 0))</v>
      </c>
      <c r="B320" s="14"/>
      <c r="C320" s="14"/>
    </row>
  </sheetData>
  <mergeCells count="94">
    <mergeCell ref="A1:C1"/>
    <mergeCell ref="A2:C3"/>
    <mergeCell ref="A8:C8"/>
    <mergeCell ref="A11:C11"/>
    <mergeCell ref="A14:C14"/>
    <mergeCell ref="A17:C17"/>
    <mergeCell ref="A20:C20"/>
    <mergeCell ref="A23:C23"/>
    <mergeCell ref="A26:C26"/>
    <mergeCell ref="A29:C29"/>
    <mergeCell ref="A32:C32"/>
    <mergeCell ref="A34:C34"/>
    <mergeCell ref="A38:C38"/>
    <mergeCell ref="A41:C41"/>
    <mergeCell ref="A44:C44"/>
    <mergeCell ref="A47:C47"/>
    <mergeCell ref="A50:C50"/>
    <mergeCell ref="A54:C54"/>
    <mergeCell ref="A58:C58"/>
    <mergeCell ref="A61:C61"/>
    <mergeCell ref="A64:C64"/>
    <mergeCell ref="A67:C67"/>
    <mergeCell ref="A70:C70"/>
    <mergeCell ref="A74:C74"/>
    <mergeCell ref="A78:C78"/>
    <mergeCell ref="A81:C81"/>
    <mergeCell ref="A84:C84"/>
    <mergeCell ref="A87:C87"/>
    <mergeCell ref="A90:C90"/>
    <mergeCell ref="A93:C93"/>
    <mergeCell ref="A97:C97"/>
    <mergeCell ref="A101:C101"/>
    <mergeCell ref="A104:C104"/>
    <mergeCell ref="A107:C107"/>
    <mergeCell ref="A110:C110"/>
    <mergeCell ref="A113:C113"/>
    <mergeCell ref="A116:C116"/>
    <mergeCell ref="A120:C120"/>
    <mergeCell ref="A124:C124"/>
    <mergeCell ref="A127:C127"/>
    <mergeCell ref="A130:C130"/>
    <mergeCell ref="A133:C133"/>
    <mergeCell ref="A136:C136"/>
    <mergeCell ref="A139:C139"/>
    <mergeCell ref="A143:C143"/>
    <mergeCell ref="A147:C147"/>
    <mergeCell ref="A150:C150"/>
    <mergeCell ref="A153:C153"/>
    <mergeCell ref="A156:C156"/>
    <mergeCell ref="A159:C159"/>
    <mergeCell ref="A163:C163"/>
    <mergeCell ref="A167:C167"/>
    <mergeCell ref="A170:C170"/>
    <mergeCell ref="A173:C173"/>
    <mergeCell ref="A176:C176"/>
    <mergeCell ref="A179:C179"/>
    <mergeCell ref="A182:C182"/>
    <mergeCell ref="A186:C186"/>
    <mergeCell ref="A190:C190"/>
    <mergeCell ref="A193:C193"/>
    <mergeCell ref="A196:C196"/>
    <mergeCell ref="A199:C199"/>
    <mergeCell ref="A202:C202"/>
    <mergeCell ref="A205:C205"/>
    <mergeCell ref="A209:C209"/>
    <mergeCell ref="A213:C213"/>
    <mergeCell ref="A216:C216"/>
    <mergeCell ref="A219:C219"/>
    <mergeCell ref="A222:C222"/>
    <mergeCell ref="A225:C225"/>
    <mergeCell ref="A229:C229"/>
    <mergeCell ref="A233:C233"/>
    <mergeCell ref="A236:C236"/>
    <mergeCell ref="A239:C239"/>
    <mergeCell ref="A242:C242"/>
    <mergeCell ref="A245:C245"/>
    <mergeCell ref="A248:C248"/>
    <mergeCell ref="A252:C252"/>
    <mergeCell ref="A256:C256"/>
    <mergeCell ref="A259:C259"/>
    <mergeCell ref="A262:C262"/>
    <mergeCell ref="A265:C265"/>
    <mergeCell ref="A268:C268"/>
    <mergeCell ref="A271:C271"/>
    <mergeCell ref="A274:C274"/>
    <mergeCell ref="A278:C278"/>
    <mergeCell ref="A282:C282"/>
    <mergeCell ref="A285:C285"/>
    <mergeCell ref="A288:C288"/>
    <mergeCell ref="A291:C291"/>
    <mergeCell ref="A294:C294"/>
    <mergeCell ref="A297:C297"/>
    <mergeCell ref="A300:C300"/>
    <mergeCell ref="A320:C320"/>
  </mergeCells>
  <hyperlinks>
    <hyperlink ref="A4" location="'Start Here'!A1" display="← Start Here"/>
    <hyperlink ref="C4" location="'5 Results'!A1" display="Next → 5 Results"/>
    <hyperlink ref="A35" location="'2 Cases'!A6" display="Edit these case inputs →"/>
    <hyperlink ref="A55" location="'2 Cases'!A16" display="Edit these case inputs →"/>
    <hyperlink ref="A75" location="'2 Cases'!A26" display="Edit these case inputs →"/>
    <hyperlink ref="A98" location="'2 Cases'!A36" display="Edit these case inputs →"/>
    <hyperlink ref="A121" location="'2 Cases'!A46" display="Edit these case inputs →"/>
    <hyperlink ref="A144" location="'2 Cases'!A60" display="Edit these case inputs →"/>
    <hyperlink ref="A164" location="'2 Cases'!A72" display="Edit these case inputs →"/>
    <hyperlink ref="A187" location="'2 Cases'!A82" display="Edit these case inputs →"/>
    <hyperlink ref="A210" location="'2 Cases'!A93" display="Edit these case inputs →"/>
    <hyperlink ref="A230" location="'2 Cases'!A103" display="Edit these case inputs →"/>
    <hyperlink ref="A253" location="'2 Cases'!A113" display="Edit these case inputs →"/>
    <hyperlink ref="A279" location="'2 Cases'!A127" display="Edit these case inputs →"/>
  </hyperlinks>
  <pageMargins left="0.3" right="0.3" top="0.4" bottom="0.4" header="0.3" footer="0.3"/>
  <pageSetup paperSize="9" fitToHeight="0" orientation="landscape"/>
  <headerFooter>
    <oddFooter>&amp;LQuantSupport&amp;CBuild and evaluate the loan agreements&amp;R&amp;P / &amp;N</oddFooter>
  </headerFooter>
  <legacyDrawing r:id="rId1"/>
</worksheet>
</file>

<file path=xl/worksheets/sheet6.xml><?xml version="1.0" encoding="utf-8"?>
<worksheet xmlns="http://schemas.openxmlformats.org/spreadsheetml/2006/main" xmlns:r="http://schemas.openxmlformats.org/officeDocument/2006/relationships">
  <sheetPr>
    <tabColor rgb="FF21845B"/>
    <pageSetUpPr fitToPage="1"/>
  </sheetPr>
  <dimension ref="A1:H28"/>
  <sheetViews>
    <sheetView showGridLines="0" zoomScale="85" zoomScaleNormal="85" workbookViewId="0">
      <pane xSplit="1" ySplit="6" topLeftCell="B7" activePane="bottomRight" state="frozen"/>
      <selection pane="topRight" activeCell="B1" sqref="B1"/>
      <selection pane="bottomLeft" activeCell="A7" sqref="A7"/>
      <selection pane="bottomRight"/>
    </sheetView>
  </sheetViews>
  <sheetFormatPr defaultRowHeight="24" customHeight="1"/>
  <cols>
    <col min="1" max="1" width="29.7109375" style="1" customWidth="1"/>
    <col min="2" max="3" width="17.7109375" style="1" customWidth="1"/>
    <col min="4" max="6" width="15.7109375" style="1" customWidth="1"/>
    <col min="7" max="8" width="12.7109375" style="1" customWidth="1"/>
  </cols>
  <sheetData>
    <row r="1" spans="1:8" ht="38.25" customHeight="1">
      <c r="A1" s="2" t="s">
        <v>219</v>
      </c>
      <c r="B1" s="2"/>
      <c r="C1" s="2"/>
      <c r="D1" s="2"/>
      <c r="E1" s="2"/>
      <c r="F1" s="2"/>
      <c r="G1" s="2"/>
      <c r="H1" s="2"/>
    </row>
    <row r="2" spans="1:8" ht="24" customHeight="1">
      <c r="A2" s="3" t="s">
        <v>220</v>
      </c>
      <c r="B2" s="3"/>
      <c r="C2" s="3"/>
      <c r="D2" s="3"/>
      <c r="E2" s="3"/>
      <c r="F2" s="3"/>
      <c r="G2" s="3"/>
      <c r="H2" s="3"/>
    </row>
    <row r="3" spans="1:8" ht="24" customHeight="1">
      <c r="A3" s="3"/>
      <c r="B3" s="3"/>
      <c r="C3" s="3"/>
      <c r="D3" s="3"/>
      <c r="E3" s="3"/>
      <c r="F3" s="3"/>
      <c r="G3" s="3"/>
      <c r="H3" s="3"/>
    </row>
    <row r="4" spans="1:8" ht="36" customHeight="1">
      <c r="A4" s="6" t="s">
        <v>42</v>
      </c>
      <c r="H4" s="6" t="s">
        <v>221</v>
      </c>
    </row>
    <row r="6" spans="1:8" ht="36" customHeight="1">
      <c r="A6" s="5" t="s">
        <v>222</v>
      </c>
      <c r="B6" s="5" t="s">
        <v>223</v>
      </c>
      <c r="C6" s="5" t="s">
        <v>224</v>
      </c>
      <c r="D6" s="5" t="s">
        <v>225</v>
      </c>
      <c r="E6" s="5" t="s">
        <v>226</v>
      </c>
      <c r="F6" s="5" t="s">
        <v>227</v>
      </c>
      <c r="G6" s="5" t="s">
        <v>228</v>
      </c>
      <c r="H6" s="5" t="s">
        <v>229</v>
      </c>
    </row>
    <row r="7" spans="1:8" ht="33.75" customHeight="1">
      <c r="A7" s="1" t="s">
        <v>93</v>
      </c>
      <c r="B7" s="15" cm="1" t="str">
        <f t="array" ref="B7">_xll.QS.RESULT.VALUE(Loan_C01_Result)</f>
        <v/>
      </c>
      <c r="C7" s="15">
        <f>Loan_C01_PV-Loan_Notional</f>
        <v/>
      </c>
      <c r="D7" s="13" cm="1" t="str">
        <f t="array" ref="D7">_xll.QS.RESULT.FAIR.RATE(Loan_C01_Fair0)</f>
        <v/>
      </c>
      <c r="E7" s="9"/>
      <c r="F7" s="9"/>
      <c r="G7" s="6" t="s">
        <v>230</v>
      </c>
      <c r="H7" s="6" t="s">
        <v>231</v>
      </c>
    </row>
    <row r="8" spans="1:8" ht="33.75" customHeight="1">
      <c r="A8" s="1" t="s">
        <v>99</v>
      </c>
      <c r="B8" s="15" cm="1" t="str">
        <f t="array" ref="B8">_xll.QS.RESULT.VALUE(Loan_C02_Result)</f>
        <v/>
      </c>
      <c r="C8" s="15">
        <f>Loan_C02_PV-Loan_Notional</f>
        <v/>
      </c>
      <c r="D8" s="13" cm="1" t="str">
        <f t="array" ref="D8">_xll.QS.RESULT.FAIR.RATE(Loan_C02_Fair0)</f>
        <v/>
      </c>
      <c r="E8" s="9"/>
      <c r="F8" s="9"/>
      <c r="G8" s="6" t="s">
        <v>230</v>
      </c>
      <c r="H8" s="6" t="s">
        <v>231</v>
      </c>
    </row>
    <row r="9" spans="1:8" ht="33.75" customHeight="1">
      <c r="A9" s="1" t="s">
        <v>232</v>
      </c>
      <c r="B9" s="15" cm="1" t="str">
        <f t="array" ref="B9">_xll.QS.RESULT.VALUE(Loan_C03_Result)</f>
        <v/>
      </c>
      <c r="C9" s="15">
        <f>Loan_C03_PV-Loan_Notional</f>
        <v/>
      </c>
      <c r="D9" s="13" cm="1" t="str">
        <f t="array" ref="D9">_xll.QS.RESULT.FAIR.RATE(Loan_C03_Fair0)</f>
        <v/>
      </c>
      <c r="E9" s="9"/>
      <c r="F9" s="9"/>
      <c r="G9" s="6" t="s">
        <v>230</v>
      </c>
      <c r="H9" s="6" t="s">
        <v>231</v>
      </c>
    </row>
    <row r="10" spans="1:8" ht="33.75" customHeight="1">
      <c r="A10" s="1" t="s">
        <v>233</v>
      </c>
      <c r="B10" s="15" cm="1" t="str">
        <f t="array" ref="B10">_xll.QS.RESULT.VALUE(Loan_C04_Result)</f>
        <v/>
      </c>
      <c r="C10" s="15">
        <f>Loan_C04_PV-Loan_Notional</f>
        <v/>
      </c>
      <c r="D10" s="13" cm="1" t="str">
        <f t="array" ref="D10">_xll.QS.RESULT.FAIR.RATE(Loan_C04_Fair0)</f>
        <v/>
      </c>
      <c r="E10" s="9"/>
      <c r="F10" s="9"/>
      <c r="G10" s="6" t="s">
        <v>230</v>
      </c>
      <c r="H10" s="6" t="s">
        <v>231</v>
      </c>
    </row>
    <row r="11" spans="1:8" ht="33.75" customHeight="1">
      <c r="A11" s="1" t="s">
        <v>234</v>
      </c>
      <c r="B11" s="15" cm="1" t="str">
        <f t="array" ref="B11">_xll.QS.RESULT.VALUE(Loan_C05_Result)</f>
        <v/>
      </c>
      <c r="C11" s="15">
        <f>Loan_C05_PV-Loan_Notional</f>
        <v/>
      </c>
      <c r="D11" s="13" cm="1" t="str">
        <f t="array" ref="D11">_xll.QS.RESULT.FAIR.RATE(Loan_C05_Fair0)</f>
        <v/>
      </c>
      <c r="E11" s="13" cm="1" t="str">
        <f t="array" ref="E11">_xll.QS.RESULT.FAIR.RATE(Loan_C05_Fair1)</f>
        <v/>
      </c>
      <c r="F11" s="9"/>
      <c r="G11" s="6" t="s">
        <v>230</v>
      </c>
      <c r="H11" s="6" t="s">
        <v>231</v>
      </c>
    </row>
    <row r="12" spans="1:8" ht="33.75" customHeight="1">
      <c r="A12" s="1" t="s">
        <v>235</v>
      </c>
      <c r="B12" s="15" cm="1" t="str">
        <f t="array" ref="B12">_xll.QS.RESULT.VALUE(Loan_C06_Result)</f>
        <v/>
      </c>
      <c r="C12" s="15">
        <f>Loan_C06_PV-Loan_Notional</f>
        <v/>
      </c>
      <c r="D12" s="7" t="s">
        <v>236</v>
      </c>
      <c r="E12" s="9"/>
      <c r="F12" s="9"/>
      <c r="G12" s="6" t="s">
        <v>230</v>
      </c>
      <c r="H12" s="6" t="s">
        <v>231</v>
      </c>
    </row>
    <row r="13" spans="1:8" ht="33.75" customHeight="1">
      <c r="A13" s="1" t="s">
        <v>237</v>
      </c>
      <c r="B13" s="15" cm="1" t="str">
        <f t="array" ref="B13">_xll.QS.RESULT.VALUE(Loan_C07_Result)</f>
        <v/>
      </c>
      <c r="C13" s="15">
        <f>Loan_C07_PV-Loan_Notional</f>
        <v/>
      </c>
      <c r="D13" s="13" cm="1" t="str">
        <f t="array" ref="D13">_xll.QS.RESULT.FAIR.RATE(Loan_C07_Fair0)</f>
        <v/>
      </c>
      <c r="E13" s="9"/>
      <c r="F13" s="9"/>
      <c r="G13" s="6" t="s">
        <v>230</v>
      </c>
      <c r="H13" s="6" t="s">
        <v>231</v>
      </c>
    </row>
    <row r="14" spans="1:8" ht="33.75" customHeight="1">
      <c r="A14" s="1" t="s">
        <v>238</v>
      </c>
      <c r="B14" s="15" cm="1" t="str">
        <f t="array" ref="B14">_xll.QS.RESULT.VALUE(Loan_C08_Result)</f>
        <v/>
      </c>
      <c r="C14" s="15">
        <f>Loan_C08_PV-Loan_Notional</f>
        <v/>
      </c>
      <c r="D14" s="13" cm="1" t="str">
        <f t="array" ref="D14">_xll.QS.RESULT.FAIR.RATE(Loan_C08_Fair0)</f>
        <v/>
      </c>
      <c r="E14" s="9"/>
      <c r="F14" s="9"/>
      <c r="G14" s="6" t="s">
        <v>230</v>
      </c>
      <c r="H14" s="6" t="s">
        <v>231</v>
      </c>
    </row>
    <row r="15" spans="1:8" ht="33.75" customHeight="1">
      <c r="A15" s="1" t="s">
        <v>239</v>
      </c>
      <c r="B15" s="15" cm="1" t="str">
        <f t="array" ref="B15">_xll.QS.RESULT.VALUE(Loan_C09_Result)</f>
        <v/>
      </c>
      <c r="C15" s="15">
        <f>Loan_C09_PV-Loan_Notional</f>
        <v/>
      </c>
      <c r="D15" s="13" cm="1" t="str">
        <f t="array" ref="D15">_xll.QS.RESULT.FAIR.RATE(Loan_C09_Fair0)</f>
        <v/>
      </c>
      <c r="E15" s="9"/>
      <c r="F15" s="9"/>
      <c r="G15" s="6" t="s">
        <v>230</v>
      </c>
      <c r="H15" s="6" t="s">
        <v>231</v>
      </c>
    </row>
    <row r="16" spans="1:8" ht="33.75" customHeight="1">
      <c r="A16" s="1" t="s">
        <v>240</v>
      </c>
      <c r="B16" s="15" cm="1" t="str">
        <f t="array" ref="B16">_xll.QS.RESULT.VALUE(Loan_C10_Result)</f>
        <v/>
      </c>
      <c r="C16" s="15">
        <f>Loan_C10_PV-Loan_Notional</f>
        <v/>
      </c>
      <c r="D16" s="13" cm="1" t="str">
        <f t="array" ref="D16">_xll.QS.RESULT.FAIR.RATE(Loan_C10_Fair0)</f>
        <v/>
      </c>
      <c r="E16" s="9"/>
      <c r="F16" s="9"/>
      <c r="G16" s="6" t="s">
        <v>230</v>
      </c>
      <c r="H16" s="6" t="s">
        <v>231</v>
      </c>
    </row>
    <row r="17" spans="1:8" ht="33.75" customHeight="1">
      <c r="A17" s="1" t="s">
        <v>241</v>
      </c>
      <c r="B17" s="15" cm="1" t="str">
        <f t="array" ref="B17">_xll.QS.RESULT.VALUE(Loan_C11_Result)</f>
        <v/>
      </c>
      <c r="C17" s="15">
        <f>Loan_C11_PV-Loan_Notional</f>
        <v/>
      </c>
      <c r="D17" s="13" cm="1" t="str">
        <f t="array" ref="D17">_xll.QS.RESULT.FAIR.RATE(Loan_C11_Fair0)</f>
        <v/>
      </c>
      <c r="E17" s="13" cm="1" t="str">
        <f t="array" ref="E17">_xll.QS.RESULT.FAIR.RATE(Loan_C11_Fair1)</f>
        <v/>
      </c>
      <c r="F17" s="13" cm="1" t="str">
        <f t="array" ref="F17">_xll.QS.RESULT.FAIR.RATE(Loan_C11_Fair2)</f>
        <v/>
      </c>
      <c r="G17" s="6" t="s">
        <v>230</v>
      </c>
      <c r="H17" s="6" t="s">
        <v>231</v>
      </c>
    </row>
    <row r="18" spans="1:8" ht="33.75" customHeight="1">
      <c r="A18" s="1" t="s">
        <v>242</v>
      </c>
      <c r="B18" s="15" cm="1" t="str">
        <f t="array" ref="B18">_xll.QS.RESULT.VALUE(Loan_C12_Result)</f>
        <v/>
      </c>
      <c r="C18" s="15">
        <f>Loan_C12_PV-Loan_Notional</f>
        <v/>
      </c>
      <c r="D18" s="13" cm="1" t="str">
        <f t="array" ref="D18">_xll.QS.RESULT.FAIR.RATE(Loan_C12_Fair0)</f>
        <v/>
      </c>
      <c r="E18" s="13" cm="1" t="str">
        <f t="array" ref="E18">_xll.QS.RESULT.FAIR.RATE(Loan_C12_Fair1)</f>
        <v/>
      </c>
      <c r="F18" s="13" cm="1" t="str">
        <f t="array" ref="F18">_xll.QS.RESULT.FAIR.RATE(Loan_C12_Fair2)</f>
        <v/>
      </c>
      <c r="G18" s="6" t="s">
        <v>230</v>
      </c>
      <c r="H18" s="6" t="s">
        <v>231</v>
      </c>
    </row>
    <row r="22" spans="1:8" ht="24" customHeight="1">
      <c r="A22" s="4" t="s">
        <v>245</v>
      </c>
      <c r="B22" s="8" t="s">
        <v>93</v>
      </c>
      <c r="C22" s="7" t="s">
        <v>246</v>
      </c>
      <c r="D22" s="7"/>
      <c r="E22" s="7"/>
      <c r="F22" s="7"/>
    </row>
    <row r="23" spans="1:8" ht="24" customHeight="1">
      <c r="C23" s="7"/>
      <c r="D23" s="7"/>
      <c r="E23" s="7"/>
      <c r="F23" s="7"/>
    </row>
    <row r="26" spans="1:8" ht="24" customHeight="1">
      <c r="A26" s="7" t="s">
        <v>249</v>
      </c>
      <c r="B26" s="7"/>
      <c r="C26" s="7"/>
      <c r="D26" s="7"/>
      <c r="E26" s="7"/>
      <c r="F26" s="7"/>
      <c r="G26" s="7"/>
      <c r="H26" s="7"/>
    </row>
    <row r="27" spans="1:8" ht="24" customHeight="1">
      <c r="A27" s="7"/>
      <c r="B27" s="7"/>
      <c r="C27" s="7"/>
      <c r="D27" s="7"/>
      <c r="E27" s="7"/>
      <c r="F27" s="7"/>
      <c r="G27" s="7"/>
      <c r="H27" s="7"/>
    </row>
    <row r="28" spans="1:8" ht="24" customHeight="1">
      <c r="A28" s="7"/>
      <c r="B28" s="7"/>
      <c r="C28" s="7"/>
      <c r="D28" s="7"/>
      <c r="E28" s="7"/>
      <c r="F28" s="7"/>
      <c r="G28" s="7"/>
      <c r="H28" s="7"/>
    </row>
  </sheetData>
  <mergeCells count="4">
    <mergeCell ref="A1:H1"/>
    <mergeCell ref="A2:H3"/>
    <mergeCell ref="C22:F23"/>
    <mergeCell ref="A26:H28"/>
  </mergeCells>
  <dataValidations count="1">
    <dataValidation type="list" allowBlank="1" showInputMessage="1" showErrorMessage="1" sqref="B22">
      <formula1>Loan_CaseNames</formula1>
    </dataValidation>
  </dataValidations>
  <hyperlinks>
    <hyperlink ref="A4" location="'Start Here'!A1" display="← Start Here"/>
    <hyperlink ref="H4" location="'6 Cashflows'!A1" display="Next → 6 Cashflows"/>
    <hyperlink ref="G7" location="'2 Cases'!A6" display="Edit →"/>
    <hyperlink ref="H7" location="'4 Build'!A34" display="Build →"/>
    <hyperlink ref="G8" location="'2 Cases'!A16" display="Edit →"/>
    <hyperlink ref="H8" location="'4 Build'!A54" display="Build →"/>
    <hyperlink ref="G9" location="'2 Cases'!A26" display="Edit →"/>
    <hyperlink ref="H9" location="'4 Build'!A74" display="Build →"/>
    <hyperlink ref="G10" location="'2 Cases'!A36" display="Edit →"/>
    <hyperlink ref="H10" location="'4 Build'!A97" display="Build →"/>
    <hyperlink ref="G11" location="'2 Cases'!A46" display="Edit →"/>
    <hyperlink ref="H11" location="'4 Build'!A120" display="Build →"/>
    <hyperlink ref="G12" location="'2 Cases'!A60" display="Edit →"/>
    <hyperlink ref="H12" location="'4 Build'!A143" display="Build →"/>
    <hyperlink ref="G13" location="'2 Cases'!A72" display="Edit →"/>
    <hyperlink ref="H13" location="'4 Build'!A163" display="Build →"/>
    <hyperlink ref="G14" location="'2 Cases'!A82" display="Edit →"/>
    <hyperlink ref="H14" location="'4 Build'!A186" display="Build →"/>
    <hyperlink ref="G15" location="'2 Cases'!A93" display="Edit →"/>
    <hyperlink ref="H15" location="'4 Build'!A209" display="Build →"/>
    <hyperlink ref="G16" location="'2 Cases'!A103" display="Edit →"/>
    <hyperlink ref="H16" location="'4 Build'!A229" display="Build →"/>
    <hyperlink ref="G17" location="'2 Cases'!A113" display="Edit →"/>
    <hyperlink ref="H17" location="'4 Build'!A252" display="Build →"/>
    <hyperlink ref="G18" location="'2 Cases'!A127" display="Edit →"/>
    <hyperlink ref="H18" location="'4 Build'!A278" display="Build →"/>
  </hyperlinks>
  <pageMargins left="0.3" right="0.3" top="0.4" bottom="0.4" header="0.3" footer="0.3"/>
  <pageSetup paperSize="9" fitToHeight="0" orientation="landscape"/>
  <headerFooter>
    <oddFooter>&amp;LQuantSupport&amp;CCompare the loan results&amp;R&amp;P / &amp;N</oddFooter>
  </headerFooter>
</worksheet>
</file>

<file path=xl/worksheets/sheet7.xml><?xml version="1.0" encoding="utf-8"?>
<worksheet xmlns="http://schemas.openxmlformats.org/spreadsheetml/2006/main" xmlns:r="http://schemas.openxmlformats.org/officeDocument/2006/relationships">
  <sheetPr>
    <tabColor rgb="FF78909C"/>
    <pageSetUpPr fitToPage="1"/>
  </sheetPr>
  <dimension ref="A1:I7"/>
  <sheetViews>
    <sheetView showGridLines="0" zoomScale="85" zoomScaleNormal="85" workbookViewId="0">
      <pane xSplit="2" ySplit="7" topLeftCell="C8" activePane="bottomRight" state="frozen"/>
      <selection pane="topRight" activeCell="C1" sqref="C1"/>
      <selection pane="bottomLeft" activeCell="A8" sqref="A8"/>
      <selection pane="bottomRight"/>
    </sheetView>
  </sheetViews>
  <sheetFormatPr defaultRowHeight="24" customHeight="1"/>
  <cols>
    <col min="1" max="1" width="16.7109375" style="1" customWidth="1"/>
    <col min="2" max="2" width="28.7109375" style="1" customWidth="1"/>
    <col min="3" max="3" width="18.7109375" style="15" customWidth="1"/>
    <col min="4" max="4" width="12.7109375" style="13" customWidth="1"/>
    <col min="5" max="5" width="12.7109375" style="16" customWidth="1"/>
    <col min="6" max="6" width="12.7109375" style="1" customWidth="1"/>
    <col min="7" max="8" width="12.7109375" style="13" customWidth="1"/>
    <col min="9" max="9" width="8.7109375" style="1" customWidth="1"/>
  </cols>
  <sheetData>
    <row r="1" spans="1:9" ht="38.25" customHeight="1">
      <c r="A1" s="2" t="s">
        <v>250</v>
      </c>
      <c r="B1" s="2"/>
      <c r="C1" s="2"/>
      <c r="D1" s="2"/>
      <c r="E1" s="2"/>
      <c r="F1" s="2"/>
      <c r="G1" s="2"/>
      <c r="H1" s="2"/>
      <c r="I1" s="2"/>
    </row>
    <row r="2" spans="1:9" ht="24" customHeight="1">
      <c r="A2" s="3" t="s">
        <v>251</v>
      </c>
      <c r="B2" s="3"/>
      <c r="C2" s="3"/>
      <c r="D2" s="3"/>
      <c r="E2" s="3"/>
      <c r="F2" s="3"/>
      <c r="G2" s="3"/>
      <c r="H2" s="3"/>
      <c r="I2" s="3"/>
    </row>
    <row r="3" spans="1:9" ht="24" customHeight="1">
      <c r="A3" s="3"/>
      <c r="B3" s="3"/>
      <c r="C3" s="3"/>
      <c r="D3" s="3"/>
      <c r="E3" s="3"/>
      <c r="F3" s="3"/>
      <c r="G3" s="3"/>
      <c r="H3" s="3"/>
      <c r="I3" s="3"/>
    </row>
    <row r="4" spans="1:9" ht="36" customHeight="1">
      <c r="A4" s="6" t="s">
        <v>42</v>
      </c>
      <c r="I4" s="6" t="s">
        <v>252</v>
      </c>
    </row>
    <row r="6" spans="1:9" ht="24" customHeight="1">
      <c r="A6" s="1" t="s">
        <v>253</v>
      </c>
      <c r="B6" s="9">
        <f>Loan_SelectedCase</f>
        <v/>
      </c>
      <c r="C6" s="6" t="s">
        <v>254</v>
      </c>
    </row>
    <row r="7" spans="1:9" ht="24" customHeight="1">
      <c r="A7" s="1" cm="1" t="str">
        <f t="array" ref="A7">_xll.QS.RESULT.CASHFLOWS(Loan_SelectedResult)</f>
        <v/>
      </c>
    </row>
  </sheetData>
  <mergeCells count="2">
    <mergeCell ref="A1:I1"/>
    <mergeCell ref="A2:I3"/>
  </mergeCells>
  <hyperlinks>
    <hyperlink ref="A4" location="'Start Here'!A1" display="← Start Here"/>
    <hyperlink ref="I4" location="'7 Risk'!A1" display="Next → 7 Risk"/>
    <hyperlink ref="C6" location="'5 Results'!B22" display="Change case →"/>
  </hyperlinks>
  <pageMargins left="0.3" right="0.3" top="0.4" bottom="0.4" header="0.3" footer="0.3"/>
  <pageSetup paperSize="9" fitToHeight="0" orientation="landscape"/>
  <headerFooter>
    <oddFooter>&amp;LQuantSupport&amp;CSelected loan · expected receipts&amp;R&amp;P / &amp;N</oddFooter>
  </headerFooter>
</worksheet>
</file>

<file path=xl/worksheets/sheet8.xml><?xml version="1.0" encoding="utf-8"?>
<worksheet xmlns="http://schemas.openxmlformats.org/spreadsheetml/2006/main" xmlns:r="http://schemas.openxmlformats.org/officeDocument/2006/relationships">
  <sheetPr>
    <tabColor rgb="FF78909C"/>
    <pageSetUpPr fitToPage="1"/>
  </sheetPr>
  <dimension ref="A1:C7"/>
  <sheetViews>
    <sheetView showGridLines="0" zoomScale="85" zoomScaleNormal="85" workbookViewId="0">
      <pane xSplit="1" ySplit="7" topLeftCell="B8" activePane="bottomRight" state="frozen"/>
      <selection pane="topRight" activeCell="B1" sqref="B1"/>
      <selection pane="bottomLeft" activeCell="A8" sqref="A8"/>
      <selection pane="bottomRight"/>
    </sheetView>
  </sheetViews>
  <sheetFormatPr defaultRowHeight="24" customHeight="1"/>
  <cols>
    <col min="1" max="1" width="62.7109375" style="1" customWidth="1"/>
    <col min="2" max="2" width="24.7109375" style="15" customWidth="1"/>
    <col min="3" max="3" width="24.7109375" style="1" customWidth="1"/>
  </cols>
  <sheetData>
    <row r="1" spans="1:3" ht="38.25" customHeight="1">
      <c r="A1" s="2" t="s">
        <v>255</v>
      </c>
      <c r="B1" s="2"/>
      <c r="C1" s="2"/>
    </row>
    <row r="2" spans="1:3" ht="24" customHeight="1">
      <c r="A2" s="3" t="s">
        <v>256</v>
      </c>
      <c r="B2" s="3"/>
      <c r="C2" s="3"/>
    </row>
    <row r="3" spans="1:3" ht="24" customHeight="1">
      <c r="A3" s="3"/>
      <c r="B3" s="3"/>
      <c r="C3" s="3"/>
    </row>
    <row r="4" spans="1:3" ht="36" customHeight="1">
      <c r="A4" s="6" t="s">
        <v>42</v>
      </c>
      <c r="C4" s="6" t="s">
        <v>257</v>
      </c>
    </row>
    <row r="6" spans="1:3" ht="24" customHeight="1">
      <c r="A6" s="1" t="s">
        <v>253</v>
      </c>
      <c r="B6" s="9">
        <f>Loan_SelectedCase</f>
        <v/>
      </c>
      <c r="C6" s="6" t="s">
        <v>254</v>
      </c>
    </row>
    <row r="7" spans="1:3" ht="24" customHeight="1">
      <c r="A7" s="1" cm="1" t="str">
        <f t="array" ref="A7">_xll.QS.RESULT.SENSITIVITIES(Loan_SelectedResult)</f>
        <v/>
      </c>
    </row>
  </sheetData>
  <mergeCells count="2">
    <mergeCell ref="A1:C1"/>
    <mergeCell ref="A2:C3"/>
  </mergeCells>
  <hyperlinks>
    <hyperlink ref="A4" location="'Start Here'!A1" display="← Start Here"/>
    <hyperlink ref="C4" location="'8 Layouts'!A1" display="Next → 8 Layouts"/>
    <hyperlink ref="C6" location="'5 Results'!B22" display="Change case →"/>
  </hyperlinks>
  <pageMargins left="0.3" right="0.3" top="0.4" bottom="0.4" header="0.3" footer="0.3"/>
  <pageSetup paperSize="9" fitToHeight="0" orientation="landscape"/>
  <headerFooter>
    <oddFooter>&amp;LQuantSupport&amp;CSelected loan · market risk&amp;R&amp;P / &amp;N</oddFooter>
  </headerFooter>
</worksheet>
</file>

<file path=xl/worksheets/sheet9.xml><?xml version="1.0" encoding="utf-8"?>
<worksheet xmlns="http://schemas.openxmlformats.org/spreadsheetml/2006/main" xmlns:r="http://schemas.openxmlformats.org/officeDocument/2006/relationships">
  <sheetPr>
    <tabColor rgb="FF78909C"/>
    <pageSetUpPr fitToPage="1"/>
  </sheetPr>
  <dimension ref="A1:F37"/>
  <sheetViews>
    <sheetView showGridLines="0" zoomScale="85" zoomScaleNormal="85" workbookViewId="0">
      <pane xSplit="1" ySplit="6" topLeftCell="B7" activePane="bottomRight" state="frozen"/>
      <selection pane="topRight" activeCell="B1" sqref="B1"/>
      <selection pane="bottomLeft" activeCell="A7" sqref="A7"/>
      <selection pane="bottomRight"/>
    </sheetView>
  </sheetViews>
  <sheetFormatPr defaultRowHeight="24" customHeight="1"/>
  <cols>
    <col min="1" max="1" width="28.7109375" style="1" customWidth="1"/>
    <col min="2" max="2" width="18.7109375" style="1" customWidth="1"/>
    <col min="3" max="4" width="20.7109375" style="1" customWidth="1"/>
    <col min="5" max="6" width="24.7109375" style="1" customWidth="1"/>
  </cols>
  <sheetData>
    <row r="1" spans="1:6" ht="38.25" customHeight="1">
      <c r="A1" s="2" t="s">
        <v>258</v>
      </c>
      <c r="B1" s="2"/>
      <c r="C1" s="2"/>
      <c r="D1" s="2"/>
      <c r="E1" s="2"/>
      <c r="F1" s="2"/>
    </row>
    <row r="2" spans="1:6" ht="24" customHeight="1">
      <c r="A2" s="3" t="s">
        <v>259</v>
      </c>
      <c r="B2" s="3"/>
      <c r="C2" s="3"/>
      <c r="D2" s="3"/>
      <c r="E2" s="3"/>
      <c r="F2" s="3"/>
    </row>
    <row r="3" spans="1:6" ht="24" customHeight="1">
      <c r="A3" s="3"/>
      <c r="B3" s="3"/>
      <c r="C3" s="3"/>
      <c r="D3" s="3"/>
      <c r="E3" s="3"/>
      <c r="F3" s="3"/>
    </row>
    <row r="4" spans="1:6" ht="24" customHeight="1">
      <c r="A4" s="6" t="s">
        <v>42</v>
      </c>
    </row>
    <row r="6" spans="1:6" ht="24" customHeight="1">
      <c r="A6" s="4" t="s">
        <v>260</v>
      </c>
      <c r="B6" s="4"/>
      <c r="C6" s="4"/>
      <c r="D6" s="4"/>
      <c r="E6" s="4"/>
      <c r="F6" s="4"/>
    </row>
    <row r="7" spans="1:6" ht="24" customHeight="1">
      <c r="A7" s="1" cm="1" t="str">
        <f t="array" ref="A7">_xll.QS.CURVE.TABLE(Loan_EstrCurve,"Simple","Annual",FALSE,TRUE)</f>
        <v/>
      </c>
    </row>
    <row r="16" spans="1:6" ht="24" customHeight="1">
      <c r="A16" s="4" t="s">
        <v>261</v>
      </c>
      <c r="B16" s="4"/>
      <c r="C16" s="4"/>
      <c r="D16" s="4"/>
      <c r="E16" s="4"/>
      <c r="F16" s="4"/>
    </row>
    <row r="17" spans="1:6" ht="24" customHeight="1">
      <c r="A17" s="1" cm="1" t="str">
        <f t="array" ref="A17">_xll.QS.CURVE.TABLE(Loan_EstrCurve,"Simple","Annual",FALSE,FALSE)</f>
        <v/>
      </c>
    </row>
    <row r="26" spans="1:6" ht="24" customHeight="1">
      <c r="A26" s="4" t="s">
        <v>262</v>
      </c>
      <c r="B26" s="4"/>
      <c r="C26" s="4"/>
      <c r="D26" s="4"/>
      <c r="E26" s="4"/>
      <c r="F26" s="4"/>
    </row>
    <row r="27" spans="1:6" ht="24" customHeight="1">
      <c r="A27" s="1" cm="1" t="str">
        <f t="array" ref="A27">_xll.QS.CURVE.TABLE(Loan_EstrCurve,"Simple","Annual",TRUE,TRUE)</f>
        <v/>
      </c>
    </row>
    <row r="36" spans="1:6" ht="24" customHeight="1">
      <c r="A36" s="4" t="s">
        <v>263</v>
      </c>
      <c r="B36" s="4"/>
      <c r="C36" s="4"/>
      <c r="D36" s="4"/>
      <c r="E36" s="4"/>
      <c r="F36" s="4"/>
    </row>
    <row r="37" spans="1:6" ht="24" customHeight="1">
      <c r="A37" s="1" cm="1" t="str">
        <f t="array" ref="A37">_xll.QS.CURVE.TABLE(Loan_EstrCurve,"Simple","Annual",TRUE,FALSE)</f>
        <v/>
      </c>
    </row>
  </sheetData>
  <mergeCells count="6">
    <mergeCell ref="A1:F1"/>
    <mergeCell ref="A2:F3"/>
    <mergeCell ref="A6:F6"/>
    <mergeCell ref="A16:F16"/>
    <mergeCell ref="A26:F26"/>
    <mergeCell ref="A36:F36"/>
  </mergeCells>
  <hyperlinks>
    <hyperlink ref="A4" location="'Start Here'!A1" display="← Start Here"/>
  </hyperlinks>
  <pageMargins left="0.3" right="0.3" top="0.4" bottom="0.4" header="0.3" footer="0.3"/>
  <pageSetup paperSize="9" fitToHeight="0" orientation="landscape"/>
  <headerFooter>
    <oddFooter>&amp;LQuantSupport&amp;CTable layout · transpose and headers&amp;R&amp;P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227</vt:i4>
      </vt:variant>
    </vt:vector>
  </HeadingPairs>
  <TitlesOfParts>
    <vt:vector size="236" baseType="lpstr">
      <vt:lpstr>Start Here</vt:lpstr>
      <vt:lpstr>1 Inputs</vt:lpstr>
      <vt:lpstr>2 Cases</vt:lpstr>
      <vt:lpstr>3 Market</vt:lpstr>
      <vt:lpstr>4 Build</vt:lpstr>
      <vt:lpstr>5 Results</vt:lpstr>
      <vt:lpstr>6 Cashflows</vt:lpstr>
      <vt:lpstr>7 Risk</vt:lpstr>
      <vt:lpstr>8 Layouts</vt:lpstr>
      <vt:lpstr>Loan_BaseCurves</vt:lpstr>
      <vt:lpstr>Loan_C01_Discount</vt:lpstr>
      <vt:lpstr>Loan_C01_Fair0</vt:lpstr>
      <vt:lpstr>Loan_C01_FairRate0</vt:lpstr>
      <vt:lpstr>Loan_C01_Index</vt:lpstr>
      <vt:lpstr>Loan_C01_Instrument</vt:lpstr>
      <vt:lpstr>Loan_C01_Net</vt:lpstr>
      <vt:lpstr>Loan_C01_Pricer</vt:lpstr>
      <vt:lpstr>Loan_C01_PV</vt:lpstr>
      <vt:lpstr>Loan_C01_Rate</vt:lpstr>
      <vt:lpstr>Loan_C01_Repayment</vt:lpstr>
      <vt:lpstr>Loan_C01_Result</vt:lpstr>
      <vt:lpstr>Loan_C01_Trade</vt:lpstr>
      <vt:lpstr>Loan_C02_Discount</vt:lpstr>
      <vt:lpstr>Loan_C02_Fair0</vt:lpstr>
      <vt:lpstr>Loan_C02_FairRate0</vt:lpstr>
      <vt:lpstr>Loan_C02_Index</vt:lpstr>
      <vt:lpstr>Loan_C02_Instrument</vt:lpstr>
      <vt:lpstr>Loan_C02_Net</vt:lpstr>
      <vt:lpstr>Loan_C02_Pricer</vt:lpstr>
      <vt:lpstr>Loan_C02_PV</vt:lpstr>
      <vt:lpstr>Loan_C02_Rate</vt:lpstr>
      <vt:lpstr>Loan_C02_Repayment</vt:lpstr>
      <vt:lpstr>Loan_C02_Result</vt:lpstr>
      <vt:lpstr>Loan_C02_Trade</vt:lpstr>
      <vt:lpstr>Loan_C03_Discount</vt:lpstr>
      <vt:lpstr>Loan_C03_Fair0</vt:lpstr>
      <vt:lpstr>Loan_C03_FairRate0</vt:lpstr>
      <vt:lpstr>Loan_C03_Index</vt:lpstr>
      <vt:lpstr>Loan_C03_Instrument</vt:lpstr>
      <vt:lpstr>Loan_C03_Net</vt:lpstr>
      <vt:lpstr>Loan_C03_Options</vt:lpstr>
      <vt:lpstr>Loan_C03_Pricer</vt:lpstr>
      <vt:lpstr>Loan_C03_PV</vt:lpstr>
      <vt:lpstr>Loan_C03_Rate</vt:lpstr>
      <vt:lpstr>Loan_C03_Repayment</vt:lpstr>
      <vt:lpstr>Loan_C03_Result</vt:lpstr>
      <vt:lpstr>Loan_C03_Settings</vt:lpstr>
      <vt:lpstr>Loan_C03_Trade</vt:lpstr>
      <vt:lpstr>Loan_C04_Discount</vt:lpstr>
      <vt:lpstr>Loan_C04_Fair0</vt:lpstr>
      <vt:lpstr>Loan_C04_FairRate0</vt:lpstr>
      <vt:lpstr>Loan_C04_Index</vt:lpstr>
      <vt:lpstr>Loan_C04_Instrument</vt:lpstr>
      <vt:lpstr>Loan_C04_Net</vt:lpstr>
      <vt:lpstr>Loan_C04_Options</vt:lpstr>
      <vt:lpstr>Loan_C04_Pricer</vt:lpstr>
      <vt:lpstr>Loan_C04_PV</vt:lpstr>
      <vt:lpstr>Loan_C04_Rate</vt:lpstr>
      <vt:lpstr>Loan_C04_Repayment</vt:lpstr>
      <vt:lpstr>Loan_C04_Result</vt:lpstr>
      <vt:lpstr>Loan_C04_Settings</vt:lpstr>
      <vt:lpstr>Loan_C04_Trade</vt:lpstr>
      <vt:lpstr>Loan_C05_Coupons</vt:lpstr>
      <vt:lpstr>Loan_C05_Discount</vt:lpstr>
      <vt:lpstr>Loan_C05_Fair0</vt:lpstr>
      <vt:lpstr>Loan_C05_Fair1</vt:lpstr>
      <vt:lpstr>Loan_C05_FairRate0</vt:lpstr>
      <vt:lpstr>Loan_C05_FairRate1</vt:lpstr>
      <vt:lpstr>Loan_C05_Index</vt:lpstr>
      <vt:lpstr>Loan_C05_Instrument</vt:lpstr>
      <vt:lpstr>Loan_C05_Net</vt:lpstr>
      <vt:lpstr>Loan_C05_Pricer</vt:lpstr>
      <vt:lpstr>Loan_C05_PV</vt:lpstr>
      <vt:lpstr>Loan_C05_Rate</vt:lpstr>
      <vt:lpstr>Loan_C05_Repayment</vt:lpstr>
      <vt:lpstr>Loan_C05_Result</vt:lpstr>
      <vt:lpstr>Loan_C05_Trade</vt:lpstr>
      <vt:lpstr>Loan_C06_Discount</vt:lpstr>
      <vt:lpstr>Loan_C06_Index</vt:lpstr>
      <vt:lpstr>Loan_C06_Instrument</vt:lpstr>
      <vt:lpstr>Loan_C06_Net</vt:lpstr>
      <vt:lpstr>Loan_C06_Options</vt:lpstr>
      <vt:lpstr>Loan_C06_Pricer</vt:lpstr>
      <vt:lpstr>Loan_C06_PV</vt:lpstr>
      <vt:lpstr>Loan_C06_Rate</vt:lpstr>
      <vt:lpstr>Loan_C06_Repayment</vt:lpstr>
      <vt:lpstr>Loan_C06_Result</vt:lpstr>
      <vt:lpstr>Loan_C06_Settings</vt:lpstr>
      <vt:lpstr>Loan_C06_Trade</vt:lpstr>
      <vt:lpstr>Loan_C07_Discount</vt:lpstr>
      <vt:lpstr>Loan_C07_Fair0</vt:lpstr>
      <vt:lpstr>Loan_C07_FairRate0</vt:lpstr>
      <vt:lpstr>Loan_C07_Index</vt:lpstr>
      <vt:lpstr>Loan_C07_Instrument</vt:lpstr>
      <vt:lpstr>Loan_C07_Net</vt:lpstr>
      <vt:lpstr>Loan_C07_Options</vt:lpstr>
      <vt:lpstr>Loan_C07_Pricer</vt:lpstr>
      <vt:lpstr>Loan_C07_PV</vt:lpstr>
      <vt:lpstr>Loan_C07_Rate</vt:lpstr>
      <vt:lpstr>Loan_C07_Repayment</vt:lpstr>
      <vt:lpstr>Loan_C07_Result</vt:lpstr>
      <vt:lpstr>Loan_C07_Settings</vt:lpstr>
      <vt:lpstr>Loan_C07_Trade</vt:lpstr>
      <vt:lpstr>Loan_C08_Discount</vt:lpstr>
      <vt:lpstr>Loan_C08_Fair0</vt:lpstr>
      <vt:lpstr>Loan_C08_FairRate0</vt:lpstr>
      <vt:lpstr>Loan_C08_Index</vt:lpstr>
      <vt:lpstr>Loan_C08_Instrument</vt:lpstr>
      <vt:lpstr>Loan_C08_Net</vt:lpstr>
      <vt:lpstr>Loan_C08_Options</vt:lpstr>
      <vt:lpstr>Loan_C08_Pricer</vt:lpstr>
      <vt:lpstr>Loan_C08_PV</vt:lpstr>
      <vt:lpstr>Loan_C08_Rate</vt:lpstr>
      <vt:lpstr>Loan_C08_Repayment</vt:lpstr>
      <vt:lpstr>Loan_C08_Result</vt:lpstr>
      <vt:lpstr>Loan_C08_Settings</vt:lpstr>
      <vt:lpstr>Loan_C08_Trade</vt:lpstr>
      <vt:lpstr>Loan_C09_Discount</vt:lpstr>
      <vt:lpstr>Loan_C09_Fair0</vt:lpstr>
      <vt:lpstr>Loan_C09_FairRate0</vt:lpstr>
      <vt:lpstr>Loan_C09_Index</vt:lpstr>
      <vt:lpstr>Loan_C09_Instrument</vt:lpstr>
      <vt:lpstr>Loan_C09_Net</vt:lpstr>
      <vt:lpstr>Loan_C09_Pricer</vt:lpstr>
      <vt:lpstr>Loan_C09_PV</vt:lpstr>
      <vt:lpstr>Loan_C09_Rate</vt:lpstr>
      <vt:lpstr>Loan_C09_Repayment</vt:lpstr>
      <vt:lpstr>Loan_C09_Result</vt:lpstr>
      <vt:lpstr>Loan_C09_Trade</vt:lpstr>
      <vt:lpstr>Loan_C10_Discount</vt:lpstr>
      <vt:lpstr>Loan_C10_Fair0</vt:lpstr>
      <vt:lpstr>Loan_C10_FairRate0</vt:lpstr>
      <vt:lpstr>Loan_C10_Index</vt:lpstr>
      <vt:lpstr>Loan_C10_Instrument</vt:lpstr>
      <vt:lpstr>Loan_C10_Net</vt:lpstr>
      <vt:lpstr>Loan_C10_Options</vt:lpstr>
      <vt:lpstr>Loan_C10_Pricer</vt:lpstr>
      <vt:lpstr>Loan_C10_PV</vt:lpstr>
      <vt:lpstr>Loan_C10_Rate</vt:lpstr>
      <vt:lpstr>Loan_C10_Repayment</vt:lpstr>
      <vt:lpstr>Loan_C10_Result</vt:lpstr>
      <vt:lpstr>Loan_C10_Settings</vt:lpstr>
      <vt:lpstr>Loan_C10_Trade</vt:lpstr>
      <vt:lpstr>Loan_C11_Coupons</vt:lpstr>
      <vt:lpstr>Loan_C11_Discount</vt:lpstr>
      <vt:lpstr>Loan_C11_Fair0</vt:lpstr>
      <vt:lpstr>Loan_C11_Fair1</vt:lpstr>
      <vt:lpstr>Loan_C11_Fair2</vt:lpstr>
      <vt:lpstr>Loan_C11_FairRate0</vt:lpstr>
      <vt:lpstr>Loan_C11_FairRate1</vt:lpstr>
      <vt:lpstr>Loan_C11_FairRate2</vt:lpstr>
      <vt:lpstr>Loan_C11_Index</vt:lpstr>
      <vt:lpstr>Loan_C11_Instrument</vt:lpstr>
      <vt:lpstr>Loan_C11_Net</vt:lpstr>
      <vt:lpstr>Loan_C11_Pricer</vt:lpstr>
      <vt:lpstr>Loan_C11_PV</vt:lpstr>
      <vt:lpstr>Loan_C11_Rate</vt:lpstr>
      <vt:lpstr>Loan_C11_Repayment</vt:lpstr>
      <vt:lpstr>Loan_C11_Result</vt:lpstr>
      <vt:lpstr>Loan_C11_Trade</vt:lpstr>
      <vt:lpstr>Loan_C12_Coupons</vt:lpstr>
      <vt:lpstr>Loan_C12_Discount</vt:lpstr>
      <vt:lpstr>Loan_C12_Fair0</vt:lpstr>
      <vt:lpstr>Loan_C12_Fair1</vt:lpstr>
      <vt:lpstr>Loan_C12_Fair2</vt:lpstr>
      <vt:lpstr>Loan_C12_FairRate0</vt:lpstr>
      <vt:lpstr>Loan_C12_FairRate1</vt:lpstr>
      <vt:lpstr>Loan_C12_FairRate2</vt:lpstr>
      <vt:lpstr>Loan_C12_Index</vt:lpstr>
      <vt:lpstr>Loan_C12_Instrument</vt:lpstr>
      <vt:lpstr>Loan_C12_Net</vt:lpstr>
      <vt:lpstr>Loan_C12_Pricer</vt:lpstr>
      <vt:lpstr>Loan_C12_PV</vt:lpstr>
      <vt:lpstr>Loan_C12_Rate</vt:lpstr>
      <vt:lpstr>Loan_C12_Repayment</vt:lpstr>
      <vt:lpstr>Loan_C12_Result</vt:lpstr>
      <vt:lpstr>Loan_C12_Trade</vt:lpstr>
      <vt:lpstr>Loan_CaseNames</vt:lpstr>
      <vt:lpstr>Loan_Context</vt:lpstr>
      <vt:lpstr>Loan_Credit</vt:lpstr>
      <vt:lpstr>Loan_CreditQuote1</vt:lpstr>
      <vt:lpstr>Loan_CreditQuote2</vt:lpstr>
      <vt:lpstr>Loan_CreditQuote3</vt:lpstr>
      <vt:lpstr>Loan_CreditQuote4</vt:lpstr>
      <vt:lpstr>Loan_CreditQuote5</vt:lpstr>
      <vt:lpstr>Loan_CreditQuote6</vt:lpstr>
      <vt:lpstr>Loan_CreditQuote7</vt:lpstr>
      <vt:lpstr>Loan_CreditQuotes</vt:lpstr>
      <vt:lpstr>Loan_Currency</vt:lpstr>
      <vt:lpstr>Loan_Curves</vt:lpstr>
      <vt:lpstr>Loan_DayCounter</vt:lpstr>
      <vt:lpstr>Loan_EstrCurve</vt:lpstr>
      <vt:lpstr>Loan_FixedRate</vt:lpstr>
      <vt:lpstr>Loan_FloatingSpread</vt:lpstr>
      <vt:lpstr>Loan_ForwardCurves</vt:lpstr>
      <vt:lpstr>Loan_ForwardRates</vt:lpstr>
      <vt:lpstr>Loan_Frequency</vt:lpstr>
      <vt:lpstr>Loan_FundingCurrency</vt:lpstr>
      <vt:lpstr>Loan_FundingIndex</vt:lpstr>
      <vt:lpstr>Loan_FundingMapping</vt:lpstr>
      <vt:lpstr>Loan_FundingPolicy</vt:lpstr>
      <vt:lpstr>Loan_FundingPricer</vt:lpstr>
      <vt:lpstr>Loan_FundingSpreads</vt:lpstr>
      <vt:lpstr>Loan_InitialCredit</vt:lpstr>
      <vt:lpstr>Loan_InitialCurves</vt:lpstr>
      <vt:lpstr>Loan_InitialQuotes</vt:lpstr>
      <vt:lpstr>Loan_Maturity</vt:lpstr>
      <vt:lpstr>Loan_Notional</vt:lpstr>
      <vt:lpstr>Loan_Pillars</vt:lpstr>
      <vt:lpstr>Loan_Recovery</vt:lpstr>
      <vt:lpstr>Loan_Request0</vt:lpstr>
      <vt:lpstr>Loan_Request1</vt:lpstr>
      <vt:lpstr>Loan_Request2</vt:lpstr>
      <vt:lpstr>Loan_Requests</vt:lpstr>
      <vt:lpstr>Loan_ResultHandles</vt:lpstr>
      <vt:lpstr>Loan_RiskFreeCurrency</vt:lpstr>
      <vt:lpstr>Loan_RiskFreeIndex</vt:lpstr>
      <vt:lpstr>Loan_RiskFreeMapping</vt:lpstr>
      <vt:lpstr>Loan_RiskFreePolicy</vt:lpstr>
      <vt:lpstr>Loan_RiskFreePricer</vt:lpstr>
      <vt:lpstr>Loan_SelectedCase</vt:lpstr>
      <vt:lpstr>Loan_SelectedResult</vt:lpstr>
      <vt:lpstr>Loan_Side</vt:lpstr>
      <vt:lpstr>Loan_SpreadCurves</vt:lpstr>
      <vt:lpstr>Loan_Start</vt:lpstr>
      <vt:lpstr>Loan_ValuationDate</vt:lpstr>
      <vt:lpstr>Loan_ZeroRates</vt:lpstr>
      <vt:lpstr>'Start Here'!Print_Area</vt:lpstr>
      <vt:lpstr>'1 Inputs'!Print_Titles</vt:lpstr>
      <vt:lpstr>'2 Cases'!Print_Titles</vt:lpstr>
      <vt:lpstr>'3 Market'!Print_Titles</vt:lpstr>
      <vt:lpstr>'4 Build'!Print_Titles</vt:lpstr>
      <vt:lpstr>'5 Results'!Print_Titles</vt:lpstr>
      <vt:lpstr>'6 Cashflows'!Print_Titles</vt:lpstr>
      <vt:lpstr>'7 Risk'!Print_Titles</vt:lpstr>
      <vt:lpstr>'8 Layouts'!Print_Titles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Loans · compare one change at a time</dc:title>
  <dc:creator/>
  <cp:lastModifiedBy/>
  <dcterms:created xsi:type="dcterms:W3CDTF">2026-01-01T00:00:00Z</dcterms:created>
  <dcterms:modified xsi:type="dcterms:W3CDTF">2026-01-01T00:00:00Z</dcterms:modified>
</cp:coreProperties>
</file>